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himm\Documents\DataAnalytics-2026\Excel\"/>
    </mc:Choice>
  </mc:AlternateContent>
  <xr:revisionPtr revIDLastSave="0" documentId="8_{02AEB3D3-0E50-4E99-9077-19D458BAB963}" xr6:coauthVersionLast="47" xr6:coauthVersionMax="47" xr10:uidLastSave="{00000000-0000-0000-0000-000000000000}"/>
  <bookViews>
    <workbookView xWindow="-108" yWindow="-108" windowWidth="23256" windowHeight="12456" firstSheet="1" activeTab="2" xr2:uid="{F941E7D7-CFC5-44F0-AFA2-7AEBCB9EF5D2}"/>
  </bookViews>
  <sheets>
    <sheet name="dataset-1" sheetId="1" r:id="rId1"/>
    <sheet name="dataset-2" sheetId="2" r:id="rId2"/>
    <sheet name="Sheet1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<sst xmlns="http://schemas.openxmlformats.org/spreadsheetml/2006/main" count="68" uniqueCount="29">
  <si>
    <t>Dataset</t>
  </si>
  <si>
    <t>Descript Stats</t>
  </si>
  <si>
    <t>Student</t>
  </si>
  <si>
    <t>Score</t>
  </si>
  <si>
    <t>Maximum</t>
  </si>
  <si>
    <t>Student 1</t>
  </si>
  <si>
    <t>Minimum</t>
  </si>
  <si>
    <t>Student 2</t>
  </si>
  <si>
    <t>Range</t>
  </si>
  <si>
    <t>Student 3</t>
  </si>
  <si>
    <t>Average</t>
  </si>
  <si>
    <t>Student 4</t>
  </si>
  <si>
    <t>Median</t>
  </si>
  <si>
    <t>Student 5</t>
  </si>
  <si>
    <t>Mode</t>
  </si>
  <si>
    <t>Student 6</t>
  </si>
  <si>
    <t>Standard Dev</t>
  </si>
  <si>
    <t>Student 7</t>
  </si>
  <si>
    <t>Student 8</t>
  </si>
  <si>
    <t>Student 9</t>
  </si>
  <si>
    <t>Student 10</t>
  </si>
  <si>
    <t>Track</t>
  </si>
  <si>
    <t>Time Zone</t>
  </si>
  <si>
    <t>AppDev</t>
  </si>
  <si>
    <t>EST</t>
  </si>
  <si>
    <t>CST</t>
  </si>
  <si>
    <t>Data Analytics</t>
  </si>
  <si>
    <t>PST</t>
  </si>
  <si>
    <t>Average of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</si>
</sst>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8.494335069445" createdVersion="8" refreshedVersion="8" minRefreshableVersion="3" recordCount="10" xr:uid="{50495AE7-B8A2-4ECD-9119-1E084F34A78A}">
  <cacheSource type="worksheet">
    <worksheetSource ref="A1:D11" sheet="dataset-2"/>
  </cacheSource>
  <cacheFields count="4">
    <cacheField name="Student" numFmtId="0">
      <sharedItems count="10">
        <s v="Student 1"/>
        <s v="Student 2"/>
        <s v="Student 3"/>
        <s v="Student 4"/>
        <s v="Student 5"/>
        <s v="Student 6"/>
        <s v="Student 7"/>
        <s v="Student 8"/>
        <s v="Student 9"/>
        <s v="Student 10"/>
      </sharedItems>
    </cacheField>
    <cacheField name="Score" numFmtId="0">
      <sharedItems containsSemiMixedTypes="0" containsString="0" containsNumber="1" containsInteger="1" minValue="65" maxValue="95"/>
    </cacheField>
    <cacheField name="Track" numFmtId="0">
      <sharedItems/>
    </cacheField>
    <cacheField name="Time Zo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65"/>
    <s v="AppDev"/>
    <s v="EST"/>
  </r>
  <r>
    <x v="1"/>
    <n v="70"/>
    <s v="AppDev"/>
    <s v="CST"/>
  </r>
  <r>
    <x v="2"/>
    <n v="75"/>
    <s v="Data Analytics"/>
    <s v="PST"/>
  </r>
  <r>
    <x v="3"/>
    <n v="80"/>
    <s v="Data Analytics"/>
    <s v="EST"/>
  </r>
  <r>
    <x v="4"/>
    <n v="85"/>
    <s v="AppDev"/>
    <s v="EST"/>
  </r>
  <r>
    <x v="5"/>
    <n v="90"/>
    <s v="AppDev"/>
    <s v="PST"/>
  </r>
  <r>
    <x v="6"/>
    <n v="75"/>
    <s v="AppDev"/>
    <s v="EST"/>
  </r>
  <r>
    <x v="7"/>
    <n v="80"/>
    <s v="Data Analytics"/>
    <s v="PST"/>
  </r>
  <r>
    <x v="8"/>
    <n v="95"/>
    <s v="Data Analytics"/>
    <s v="EST"/>
  </r>
  <r>
    <x v="9"/>
    <n v="70"/>
    <s v="AppDev"/>
    <s v="C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C01CC5-56EC-47D9-A33A-BA5328E30AD4}" name="PivotTable1" cacheId="0" applyNumberFormats="0" applyBorderFormats="0" applyFontFormats="0" applyPatternFormats="0" applyAlignmentFormats="0" applyWidthHeightFormats="1" dataCaption="Values" grandTotalCaption="Average" updatedVersion="8" minRefreshableVersion="3" useAutoFormatting="1" itemPrintTitles="1" createdVersion="8" indent="0" compact="0" compactData="0" multipleFieldFilters="0">
  <location ref="A2:B13" firstHeaderRow="1" firstDataRow="1" firstDataCol="1"/>
  <pivotFields count="4">
    <pivotField axis="axisRow" compact="0" outline="0" showAll="0">
      <items count="11">
        <item x="0"/>
        <item x="9"/>
        <item x="1"/>
        <item x="2"/>
        <item x="3"/>
        <item x="4"/>
        <item x="5"/>
        <item x="6"/>
        <item x="7"/>
        <item x="8"/>
        <item t="default"/>
      </items>
    </pivotField>
    <pivotField dataField="1" compact="0" outline="0" showAll="0"/>
    <pivotField compact="0" outline="0" showAll="0"/>
    <pivotField compact="0" outline="0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Score" fld="1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07565-E48B-4941-A22F-99AED1D7656F}">
  <dimension ref="A1:D12"/>
  <sheetViews>
    <sheetView workbookViewId="0">
      <selection activeCell="C18" sqref="C18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12.109375" bestFit="1" customWidth="1"/>
    <col min="4" max="4" width="9.5546875" bestFit="1" customWidth="1"/>
  </cols>
  <sheetData>
    <row r="1" spans="1:4" x14ac:dyDescent="0.3">
      <c r="A1" t="s">
        <v>0</v>
      </c>
      <c r="C1" t="s">
        <v>1</v>
      </c>
    </row>
    <row r="2" spans="1:4" x14ac:dyDescent="0.3">
      <c r="A2" t="s">
        <v>2</v>
      </c>
      <c r="B2" t="s">
        <v>3</v>
      </c>
      <c r="C2" t="s">
        <v>4</v>
      </c>
      <c r="D2">
        <f>MAX(B3:B12)</f>
        <v>95</v>
      </c>
    </row>
    <row r="3" spans="1:4" x14ac:dyDescent="0.3">
      <c r="A3" t="s">
        <v>5</v>
      </c>
      <c r="B3">
        <v>65</v>
      </c>
      <c r="C3" t="s">
        <v>6</v>
      </c>
      <c r="D3">
        <f>MIN(B3:B12)</f>
        <v>65</v>
      </c>
    </row>
    <row r="4" spans="1:4" x14ac:dyDescent="0.3">
      <c r="A4" t="s">
        <v>7</v>
      </c>
      <c r="B4">
        <v>70</v>
      </c>
      <c r="C4" t="s">
        <v>8</v>
      </c>
      <c r="D4">
        <f>D2-D3</f>
        <v>30</v>
      </c>
    </row>
    <row r="5" spans="1:4" x14ac:dyDescent="0.3">
      <c r="A5" t="s">
        <v>9</v>
      </c>
      <c r="B5">
        <v>75</v>
      </c>
      <c r="C5" t="s">
        <v>10</v>
      </c>
      <c r="D5">
        <f>AVERAGE(B3:B12)</f>
        <v>78.5</v>
      </c>
    </row>
    <row r="6" spans="1:4" x14ac:dyDescent="0.3">
      <c r="A6" t="s">
        <v>11</v>
      </c>
      <c r="B6">
        <v>80</v>
      </c>
      <c r="C6" t="s">
        <v>12</v>
      </c>
      <c r="D6">
        <f>MEDIAN(B3:B12)</f>
        <v>77.5</v>
      </c>
    </row>
    <row r="7" spans="1:4" x14ac:dyDescent="0.3">
      <c r="A7" t="s">
        <v>13</v>
      </c>
      <c r="B7">
        <v>85</v>
      </c>
      <c r="C7" t="s">
        <v>14</v>
      </c>
      <c r="D7">
        <f>_xlfn.MODE.SNGL(B3:B12)</f>
        <v>70</v>
      </c>
    </row>
    <row r="8" spans="1:4" x14ac:dyDescent="0.3">
      <c r="A8" t="s">
        <v>15</v>
      </c>
      <c r="B8">
        <v>90</v>
      </c>
      <c r="C8" t="s">
        <v>16</v>
      </c>
      <c r="D8" s="1">
        <f>_xlfn.STDEV.P(B3:B12)</f>
        <v>8.9582364335844584</v>
      </c>
    </row>
    <row r="9" spans="1:4" x14ac:dyDescent="0.3">
      <c r="A9" t="s">
        <v>17</v>
      </c>
      <c r="B9">
        <v>75</v>
      </c>
    </row>
    <row r="10" spans="1:4" x14ac:dyDescent="0.3">
      <c r="A10" t="s">
        <v>18</v>
      </c>
      <c r="B10">
        <v>80</v>
      </c>
    </row>
    <row r="11" spans="1:4" x14ac:dyDescent="0.3">
      <c r="A11" t="s">
        <v>19</v>
      </c>
      <c r="B11">
        <v>95</v>
      </c>
    </row>
    <row r="12" spans="1:4" x14ac:dyDescent="0.3">
      <c r="A12" t="s">
        <v>20</v>
      </c>
      <c r="B12">
        <v>70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8230-7FF2-4B04-B07B-A157F3AD123B}">
  <dimension ref="A1:D11"/>
  <sheetViews>
    <sheetView workbookViewId="0">
      <selection activeCell="N5" sqref="N5"/>
    </sheetView>
  </sheetViews>
  <sheetFormatPr defaultRowHeight="14.4" x14ac:dyDescent="0.3"/>
  <cols>
    <col min="1" max="1" width="10.109375" bestFit="1" customWidth="1"/>
    <col min="3" max="3" width="13.109375" bestFit="1" customWidth="1"/>
    <col min="4" max="4" width="9.5546875" bestFit="1" customWidth="1"/>
  </cols>
  <sheetData>
    <row r="1" spans="1:4" x14ac:dyDescent="0.3">
      <c r="A1" t="s">
        <v>2</v>
      </c>
      <c r="B1" t="s">
        <v>3</v>
      </c>
      <c r="C1" t="s">
        <v>21</v>
      </c>
      <c r="D1" t="s">
        <v>22</v>
      </c>
    </row>
    <row r="2" spans="1:4" x14ac:dyDescent="0.3">
      <c r="A2" t="s">
        <v>5</v>
      </c>
      <c r="B2">
        <v>65</v>
      </c>
      <c r="C2" t="s">
        <v>23</v>
      </c>
      <c r="D2" t="s">
        <v>24</v>
      </c>
    </row>
    <row r="3" spans="1:4" x14ac:dyDescent="0.3">
      <c r="A3" t="s">
        <v>7</v>
      </c>
      <c r="B3">
        <v>70</v>
      </c>
      <c r="C3" t="s">
        <v>23</v>
      </c>
      <c r="D3" t="s">
        <v>25</v>
      </c>
    </row>
    <row r="4" spans="1:4" x14ac:dyDescent="0.3">
      <c r="A4" t="s">
        <v>9</v>
      </c>
      <c r="B4">
        <v>75</v>
      </c>
      <c r="C4" t="s">
        <v>26</v>
      </c>
      <c r="D4" t="s">
        <v>27</v>
      </c>
    </row>
    <row r="5" spans="1:4" x14ac:dyDescent="0.3">
      <c r="A5" t="s">
        <v>11</v>
      </c>
      <c r="B5">
        <v>80</v>
      </c>
      <c r="C5" t="s">
        <v>26</v>
      </c>
      <c r="D5" t="s">
        <v>24</v>
      </c>
    </row>
    <row r="6" spans="1:4" x14ac:dyDescent="0.3">
      <c r="A6" t="s">
        <v>13</v>
      </c>
      <c r="B6">
        <v>85</v>
      </c>
      <c r="C6" t="s">
        <v>23</v>
      </c>
      <c r="D6" t="s">
        <v>24</v>
      </c>
    </row>
    <row r="7" spans="1:4" x14ac:dyDescent="0.3">
      <c r="A7" t="s">
        <v>15</v>
      </c>
      <c r="B7">
        <v>90</v>
      </c>
      <c r="C7" t="s">
        <v>23</v>
      </c>
      <c r="D7" t="s">
        <v>27</v>
      </c>
    </row>
    <row r="8" spans="1:4" x14ac:dyDescent="0.3">
      <c r="A8" t="s">
        <v>17</v>
      </c>
      <c r="B8">
        <v>75</v>
      </c>
      <c r="C8" t="s">
        <v>23</v>
      </c>
      <c r="D8" t="s">
        <v>24</v>
      </c>
    </row>
    <row r="9" spans="1:4" x14ac:dyDescent="0.3">
      <c r="A9" t="s">
        <v>18</v>
      </c>
      <c r="B9">
        <v>80</v>
      </c>
      <c r="C9" t="s">
        <v>26</v>
      </c>
      <c r="D9" t="s">
        <v>27</v>
      </c>
    </row>
    <row r="10" spans="1:4" x14ac:dyDescent="0.3">
      <c r="A10" t="s">
        <v>19</v>
      </c>
      <c r="B10">
        <v>95</v>
      </c>
      <c r="C10" t="s">
        <v>26</v>
      </c>
      <c r="D10" t="s">
        <v>24</v>
      </c>
    </row>
    <row r="11" spans="1:4" x14ac:dyDescent="0.3">
      <c r="A11" t="s">
        <v>20</v>
      </c>
      <c r="B11">
        <v>70</v>
      </c>
      <c r="C11" t="s">
        <v>23</v>
      </c>
      <c r="D11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05EE-2EE1-410A-B16A-B3622E5053C3}">
  <dimension ref="A2:B13"/>
  <sheetViews>
    <sheetView tabSelected="1" topLeftCell="A2" workbookViewId="0">
      <selection activeCell="J7" sqref="J7"/>
    </sheetView>
  </sheetViews>
  <sheetFormatPr defaultRowHeight="14.4" x14ac:dyDescent="0.3"/>
  <cols>
    <col min="1" max="1" width="11.109375" bestFit="1" customWidth="1"/>
    <col min="2" max="2" width="15.5546875" bestFit="1" customWidth="1"/>
  </cols>
  <sheetData>
    <row r="2" spans="1:2" x14ac:dyDescent="0.3">
      <c r="A2" s="2" t="s">
        <v>2</v>
      </c>
      <c r="B2" t="s">
        <v>28</v>
      </c>
    </row>
    <row r="3" spans="1:2" x14ac:dyDescent="0.3">
      <c r="A3" t="s">
        <v>5</v>
      </c>
      <c r="B3">
        <v>65</v>
      </c>
    </row>
    <row r="4" spans="1:2" x14ac:dyDescent="0.3">
      <c r="A4" t="s">
        <v>20</v>
      </c>
      <c r="B4">
        <v>70</v>
      </c>
    </row>
    <row r="5" spans="1:2" x14ac:dyDescent="0.3">
      <c r="A5" t="s">
        <v>7</v>
      </c>
      <c r="B5">
        <v>70</v>
      </c>
    </row>
    <row r="6" spans="1:2" x14ac:dyDescent="0.3">
      <c r="A6" t="s">
        <v>9</v>
      </c>
      <c r="B6">
        <v>75</v>
      </c>
    </row>
    <row r="7" spans="1:2" x14ac:dyDescent="0.3">
      <c r="A7" t="s">
        <v>11</v>
      </c>
      <c r="B7">
        <v>80</v>
      </c>
    </row>
    <row r="8" spans="1:2" x14ac:dyDescent="0.3">
      <c r="A8" t="s">
        <v>13</v>
      </c>
      <c r="B8">
        <v>85</v>
      </c>
    </row>
    <row r="9" spans="1:2" x14ac:dyDescent="0.3">
      <c r="A9" t="s">
        <v>15</v>
      </c>
      <c r="B9">
        <v>90</v>
      </c>
    </row>
    <row r="10" spans="1:2" x14ac:dyDescent="0.3">
      <c r="A10" t="s">
        <v>17</v>
      </c>
      <c r="B10">
        <v>75</v>
      </c>
    </row>
    <row r="11" spans="1:2" x14ac:dyDescent="0.3">
      <c r="A11" t="s">
        <v>18</v>
      </c>
      <c r="B11">
        <v>80</v>
      </c>
    </row>
    <row r="12" spans="1:2" x14ac:dyDescent="0.3">
      <c r="A12" t="s">
        <v>19</v>
      </c>
      <c r="B12">
        <v>95</v>
      </c>
    </row>
    <row r="13" spans="1:2" x14ac:dyDescent="0.3">
      <c r="A13" t="s">
        <v>10</v>
      </c>
      <c r="B13">
        <v>78.5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dataset-1</vt:lpstr>
      <vt:lpstr>dataset-2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alexus chanthadara</dc:creator>
  <cp:keywords/>
  <dc:description/>
  <cp:lastModifiedBy>Alexus Chanthadara </cp:lastModifiedBy>
  <cp:revision/>
  <dcterms:created xsi:type="dcterms:W3CDTF">2026-03-25T14:53:14Z</dcterms:created>
  <dcterms:modified xsi:type="dcterms:W3CDTF">2026-03-27T15:59:16Z</dcterms:modified>
  <cp:category/>
  <cp:contentStatus/>
</cp:coreProperties>
</file>