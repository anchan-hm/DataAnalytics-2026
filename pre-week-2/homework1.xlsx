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pre-week-2\"/>
    </mc:Choice>
  </mc:AlternateContent>
  <xr:revisionPtr revIDLastSave="0" documentId="8_{0B1F652A-8AFB-4104-8599-C51DAE42FDE4}" xr6:coauthVersionLast="47" xr6:coauthVersionMax="47" xr10:uidLastSave="{00000000-0000-0000-0000-000000000000}"/>
  <bookViews>
    <workbookView xWindow="-108" yWindow="-108" windowWidth="23256" windowHeight="12456" xr2:uid="{7E3C914B-DA45-497F-B903-EF838D1FD2EC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8" i="1"/>
  <c r="E8" i="1"/>
  <c r="E5" i="1"/>
  <c r="E7" i="1"/>
  <c r="E6" i="1"/>
  <c r="E4" i="1"/>
  <c r="E3" i="1"/>
  <c r="E2" i="1"/>
</calcChain>
</file>

<file path=xl/sharedStrings.xml><?xml version="1.0" encoding="utf-8"?>
<sst xmlns="http://schemas.openxmlformats.org/spreadsheetml/2006/main" count="25" uniqueCount="25">
  <si>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</si>
  <si>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</si>
  <si>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</si>
  <si>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</si>
  <si>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</si>
  <si>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</si>
  <si>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</si>
  <si>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</si>
  <si>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Monthly Sales</t>
  </si>
  <si>
    <t>Store H</t>
  </si>
  <si>
    <t>Store I</t>
  </si>
  <si>
    <t>Store J</t>
  </si>
  <si>
    <t>Store K</t>
  </si>
  <si>
    <t>Mean:</t>
  </si>
  <si>
    <t>Median:</t>
  </si>
  <si>
    <t>Mode:</t>
  </si>
  <si>
    <t>Range:</t>
  </si>
  <si>
    <t>Max:</t>
  </si>
  <si>
    <t>Min:</t>
  </si>
  <si>
    <t>Standard Dev:</t>
  </si>
  <si>
    <t>Store L</t>
  </si>
  <si>
    <t>The overall average performance for monthly sales between the stores is 49.42.</t>
  </si>
  <si>
    <t xml:space="preserve">Based on the findings calculating the Standard Deviation, the value shows almost an 8, indicating it is spread out. </t>
  </si>
  <si>
    <t>I have calculated the Standard Deviation for all the store's values, and compared it to the a Standard Deviation with one less value. In conclusion, the Standard Deviation that had one less value, showed a value of 2.91, showing a significant difference.</t>
  </si>
  <si>
    <t>I would like to know more on other potential variables that could alter the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</si>
</sst>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5CD7-AE16-4953-9918-E1EA4BCC0B20}">
  <dimension ref="A1:F13"/>
  <sheetViews>
    <sheetView tabSelected="1" zoomScale="132" workbookViewId="0">
      <selection activeCell="F8" sqref="F8"/>
    </sheetView>
  </sheetViews>
  <sheetFormatPr defaultRowHeight="14.4" x14ac:dyDescent="0.3"/>
  <cols>
    <col min="2" max="2" width="11.88671875" bestFit="1" customWidth="1"/>
    <col min="4" max="4" width="12.109375" bestFit="1" customWidth="1"/>
  </cols>
  <sheetData>
    <row r="1" spans="1:6" x14ac:dyDescent="0.3">
      <c r="A1" t="s">
        <v>0</v>
      </c>
      <c r="B1" t="s">
        <v>8</v>
      </c>
    </row>
    <row r="2" spans="1:6" x14ac:dyDescent="0.3">
      <c r="A2" t="s">
        <v>1</v>
      </c>
      <c r="B2">
        <v>51</v>
      </c>
      <c r="D2" t="s">
        <v>13</v>
      </c>
      <c r="E2" s="1">
        <f>AVERAGE(B2:B13)</f>
        <v>49.416666666666664</v>
      </c>
    </row>
    <row r="3" spans="1:6" x14ac:dyDescent="0.3">
      <c r="A3" t="s">
        <v>2</v>
      </c>
      <c r="B3">
        <v>44</v>
      </c>
      <c r="D3" t="s">
        <v>14</v>
      </c>
      <c r="E3">
        <f>MEDIAN(B2:B13)</f>
        <v>47.5</v>
      </c>
    </row>
    <row r="4" spans="1:6" x14ac:dyDescent="0.3">
      <c r="A4" t="s">
        <v>3</v>
      </c>
      <c r="B4">
        <v>49</v>
      </c>
      <c r="D4" t="s">
        <v>15</v>
      </c>
      <c r="E4">
        <f>_xlfn.MODE.SNGL(B2:B13)</f>
        <v>46</v>
      </c>
    </row>
    <row r="5" spans="1:6" x14ac:dyDescent="0.3">
      <c r="A5" t="s">
        <v>4</v>
      </c>
      <c r="B5">
        <v>46</v>
      </c>
      <c r="D5" t="s">
        <v>16</v>
      </c>
      <c r="E5">
        <f>E6-E7</f>
        <v>29</v>
      </c>
      <c r="F5">
        <f>MAX(B2:B13)-MIN(B2:B13)</f>
        <v>29</v>
      </c>
    </row>
    <row r="6" spans="1:6" x14ac:dyDescent="0.3">
      <c r="A6" t="s">
        <v>5</v>
      </c>
      <c r="B6">
        <v>52</v>
      </c>
      <c r="D6" t="s">
        <v>17</v>
      </c>
      <c r="E6">
        <f>MAX(B2:B13)</f>
        <v>72</v>
      </c>
    </row>
    <row r="7" spans="1:6" x14ac:dyDescent="0.3">
      <c r="A7" t="s">
        <v>6</v>
      </c>
      <c r="B7">
        <v>47</v>
      </c>
      <c r="D7" t="s">
        <v>18</v>
      </c>
      <c r="E7">
        <f>MIN(B2:B13)</f>
        <v>43</v>
      </c>
    </row>
    <row r="8" spans="1:6" x14ac:dyDescent="0.3">
      <c r="A8" t="s">
        <v>7</v>
      </c>
      <c r="B8">
        <v>45</v>
      </c>
      <c r="D8" t="s">
        <v>19</v>
      </c>
      <c r="E8" s="1">
        <f>_xlfn.STDEV.S(B2:B13)</f>
        <v>7.6331613054586773</v>
      </c>
      <c r="F8" s="1">
        <f>_xlfn.STDEV.S(B2:B8,B10:B13)</f>
        <v>2.9076701075853588</v>
      </c>
    </row>
    <row r="9" spans="1:6" x14ac:dyDescent="0.3">
      <c r="A9" t="s">
        <v>9</v>
      </c>
      <c r="B9">
        <v>72</v>
      </c>
    </row>
    <row r="10" spans="1:6" x14ac:dyDescent="0.3">
      <c r="A10" t="s">
        <v>10</v>
      </c>
      <c r="B10">
        <v>43</v>
      </c>
    </row>
    <row r="11" spans="1:6" x14ac:dyDescent="0.3">
      <c r="A11" t="s">
        <v>11</v>
      </c>
      <c r="B11">
        <v>48</v>
      </c>
    </row>
    <row r="12" spans="1:6" x14ac:dyDescent="0.3">
      <c r="A12" t="s">
        <v>12</v>
      </c>
      <c r="B12">
        <v>46</v>
      </c>
    </row>
    <row r="13" spans="1:6" x14ac:dyDescent="0.3">
      <c r="A13" t="s">
        <v>20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6922-D799-4110-8096-D2A205A18201}">
  <dimension ref="A1:A4"/>
  <sheetViews>
    <sheetView workbookViewId="0">
      <selection activeCell="A4" sqref="A4"/>
    </sheetView>
  </sheetViews>
  <sheetFormatPr defaultRowHeight="14.4" x14ac:dyDescent="0.3"/>
  <cols>
    <col min="1" max="1" width="200.44140625" bestFit="1" customWidth="1"/>
  </cols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</dc:creator>
  <cp:lastModifiedBy>alexus chanthadara</cp:lastModifiedBy>
  <dcterms:created xsi:type="dcterms:W3CDTF">2026-03-26T00:52:55Z</dcterms:created>
  <dcterms:modified xsi:type="dcterms:W3CDTF">2026-03-26T02:09:56Z</dcterms:modified>
</cp:coreProperties>
</file>