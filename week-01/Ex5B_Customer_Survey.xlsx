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3330D981-7ABB-4CCF-A34A-ADE21A0C52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rvey" sheetId="1" r:id="rId1"/>
    <sheet name="Charts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 a="1"/>
  <c r="H29" i="1" s="1"/>
  <c r="G30" i="1"/>
  <c r="J34" i="1"/>
  <c r="J33" i="1"/>
  <c r="J32" i="1"/>
  <c r="J31" i="1"/>
  <c r="J30" i="1"/>
  <c r="J29" i="1"/>
  <c r="J28" i="1"/>
  <c r="J27" i="1"/>
  <c r="I33" i="1"/>
  <c r="I32" i="1"/>
  <c r="I31" i="1"/>
  <c r="I30" i="1"/>
  <c r="I29" i="1"/>
  <c r="I28" i="1"/>
  <c r="I27" i="1"/>
  <c r="G28" i="1"/>
  <c r="G27" i="1"/>
  <c r="H28" i="1"/>
  <c r="H27" i="1"/>
  <c r="G29" i="1"/>
  <c r="M27" i="1"/>
  <c r="L27" i="1"/>
  <c r="K2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<sst xmlns="http://schemas.openxmlformats.org/spreadsheetml/2006/main" count="162" uniqueCount="64">
  <si>
    <t>Id</t>
  </si>
  <si>
    <t>Start time</t>
  </si>
  <si>
    <t>Completion time</t>
  </si>
  <si>
    <t>Email</t>
  </si>
  <si>
    <t>Name</t>
  </si>
  <si>
    <t>Do you prefer tea or coffee? (Select all that apply)</t>
  </si>
  <si>
    <t>Temperature? </t>
  </si>
  <si>
    <t>Drink style? (Select all that apply)</t>
  </si>
  <si>
    <t>Syrups? (Select all that apply)</t>
  </si>
  <si>
    <t>How is the quality of your drinks? (Each visit)</t>
  </si>
  <si>
    <t>How is the wait time? (Each visit)</t>
  </si>
  <si>
    <t>Likely to visit again?</t>
  </si>
  <si>
    <t>Enter your number to receive points towards your order each visit! (Optional)</t>
  </si>
  <si>
    <t>anonymous</t>
  </si>
  <si>
    <t>I only drink water;</t>
  </si>
  <si>
    <t>Hot</t>
  </si>
  <si>
    <t>Lattes;</t>
  </si>
  <si>
    <t>Honey;</t>
  </si>
  <si>
    <t>Cold</t>
  </si>
  <si>
    <t>Maple;Seasonal Syrups;</t>
  </si>
  <si>
    <t>911</t>
  </si>
  <si>
    <t>Tea;</t>
  </si>
  <si>
    <t>Loose Leaf Tea;</t>
  </si>
  <si>
    <t>Drip;Pour Over;Cold Brew;Espresso;Cortado;Lattes;Loose Leaf Tea;</t>
  </si>
  <si>
    <t>Vanilla;Caramel (w/Dairy);Mocha;Maple;Honey;Simple Syrup;Seasonal Syrups;None;</t>
  </si>
  <si>
    <t>We are gonna send  you to the beach that makes you old!</t>
  </si>
  <si>
    <t>Coffee;</t>
  </si>
  <si>
    <t>Caramel (w/Dairy);</t>
  </si>
  <si>
    <t>67</t>
  </si>
  <si>
    <t>Tea;Coffee;</t>
  </si>
  <si>
    <t>Pour Over;Cortado;Loose Leaf Tea;Lattes;</t>
  </si>
  <si>
    <t>2409991000</t>
  </si>
  <si>
    <t>None;</t>
  </si>
  <si>
    <t>456HAM</t>
  </si>
  <si>
    <t>Caramel (w/Dairy);Vanilla;</t>
  </si>
  <si>
    <t>980-229-1593</t>
  </si>
  <si>
    <t>Lattes;Loose Leaf Tea;</t>
  </si>
  <si>
    <t>Vanilla;Caramel (w/Dairy);Maple;</t>
  </si>
  <si>
    <t>000-000-0000</t>
  </si>
  <si>
    <t>Espresso;Cold Brew;Lattes;</t>
  </si>
  <si>
    <t>Vanilla;</t>
  </si>
  <si>
    <t>Espresso;</t>
  </si>
  <si>
    <t>Vanilla;Caramel (w/Dairy);</t>
  </si>
  <si>
    <t>Cortado;</t>
  </si>
  <si>
    <t>Mocha;</t>
  </si>
  <si>
    <t>5454545454</t>
  </si>
  <si>
    <t>Pour Over;</t>
  </si>
  <si>
    <t>718-704-2959</t>
  </si>
  <si>
    <t>Coffee;Tea;</t>
  </si>
  <si>
    <t>201-192-6969</t>
  </si>
  <si>
    <t>Simple Syrup;</t>
  </si>
  <si>
    <t>Cold Brew;</t>
  </si>
  <si>
    <t>Mocha;Vanilla;</t>
  </si>
  <si>
    <t>Vanilla;Seasonal Syrups;Simple Syrup;</t>
  </si>
  <si>
    <t>Loose Leaf Tea;Lattes;</t>
  </si>
  <si>
    <t>Simple Syrup;Seasonal Syrups;</t>
  </si>
  <si>
    <t>Lattes;Cold Brew;Loose Leaf Tea;</t>
  </si>
  <si>
    <t>Vanilla;Mocha;Simple Syrup;Seasonal Syrups;</t>
  </si>
  <si>
    <t>Cold Brew;Lattes;Loose Leaf Tea;</t>
  </si>
  <si>
    <t>Vanilla;Simple Syrup;Seasonal Syrups;Mocha;</t>
  </si>
  <si>
    <t>Time to Complete</t>
  </si>
  <si>
    <t>Row Labels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</si>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</sst>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49" fontId="0" fillId="0" borderId="0" xfId="0" applyNumberFormat="1"/>
    <xf numFmtId="0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8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[Ex5B_Customer_Survey.xlsx]Charts!PivotTable1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Hot Drinks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Charts!$A$2:$A$7</c:f>
              <c:multiLvlStrCache>
                <c:ptCount val="4"/>
                <c:lvl>
                  <c:pt idx="0">
                    <c:v>Coffee;</c:v>
                  </c:pt>
                  <c:pt idx="1">
                    <c:v>I only drink water;</c:v>
                  </c:pt>
                  <c:pt idx="2">
                    <c:v>Tea;</c:v>
                  </c:pt>
                  <c:pt idx="3">
                    <c:v>Tea;Coffee;</c:v>
                  </c:pt>
                </c:lvl>
                <c:lvl>
                  <c:pt idx="0">
                    <c:v>Hot</c:v>
                  </c:pt>
                </c:lvl>
              </c:multiLvlStrCache>
            </c:multiLvlStrRef>
          </c:cat>
          <c:val>
            <c:numRef>
              <c:f>Charts!$B$2:$B$7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F-402F-A3FF-4FC5E35C2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[Ex5B_Customer_Survey.xlsx]Charts!PivotTable2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Charts!$A$18:$A$20</c:f>
              <c:strCache>
                <c:ptCount val="2"/>
                <c:pt idx="0">
                  <c:v>Cold</c:v>
                </c:pt>
                <c:pt idx="1">
                  <c:v>Hot</c:v>
                </c:pt>
              </c:strCache>
            </c:strRef>
          </c:cat>
          <c:val>
            <c:numRef>
              <c:f>Charts!$B$18:$B$20</c:f>
              <c:numCache>
                <c:formatCode>General</c:formatCode>
                <c:ptCount val="2"/>
                <c:pt idx="0">
                  <c:v>16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D-4EC5-A5E1-302D02CF2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89824"/>
        <c:axId val="127992704"/>
      </c:barChart>
      <c:catAx>
        <c:axId val="1279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2704"/>
        <c:crosses val="autoZero"/>
        <c:auto val="1"/>
        <c:lblAlgn val="ctr"/>
        <c:lblOffset val="100"/>
        <c:noMultiLvlLbl val="0"/>
      </c:catAx>
      <c:valAx>
        <c:axId val="1279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19050</xdr:rowOff>
    </xdr:from>
    <xdr:to>
      <xdr:col>10</xdr:col>
      <xdr:colOff>571500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55D4F-44CC-F8A5-A889-4EF3C662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236220</xdr:colOff>
      <xdr:row>15</xdr:row>
      <xdr:rowOff>118110</xdr:rowOff>
    </xdr:from>
    <xdr:to>
      <xdr:col>10</xdr:col>
      <xdr:colOff>541020</xdr:colOff>
      <xdr:row>30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9C7B4A-DBF0-955E-3B2A-3D798795F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21.913841898146" createdVersion="8" refreshedVersion="8" minRefreshableVersion="3" recordCount="25" xr:uid="{A443BFBC-182D-4EF1-AB93-0D8FA03B793A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25"/>
    </cacheField>
    <cacheField name="Start time" numFmtId="165">
      <sharedItems containsSemiMixedTypes="0" containsNonDate="0" containsDate="1" containsString="0" minDate="2026-04-07T13:26:14" maxDate="2026-04-09T12:26:49"/>
    </cacheField>
    <cacheField name="Completion time" numFmtId="165">
      <sharedItems containsSemiMixedTypes="0" containsNonDate="0" containsDate="1" containsString="0" minDate="2026-04-07T13:29:12" maxDate="2026-04-09T12:27:01"/>
    </cacheField>
    <cacheField name="Time to Complete" numFmtId="45">
      <sharedItems containsSemiMixedTypes="0" containsNonDate="0" containsDate="1" containsString="0" minDate="1899-12-30T00:00:12" maxDate="1899-12-30T00:13:40"/>
    </cacheField>
    <cacheField name="Email" numFmtId="0">
      <sharedItems/>
    </cacheField>
    <cacheField name="Name" numFmtId="0">
      <sharedItems containsNonDate="0" containsString="0" containsBlank="1"/>
    </cacheField>
    <cacheField name="Do you prefer tea or coffee? (Select all that apply)" numFmtId="0">
      <sharedItems count="5">
        <s v="I only drink water;"/>
        <s v="Tea;"/>
        <s v="Coffee;"/>
        <s v="Tea;Coffee;"/>
        <s v="Coffee;Tea;"/>
      </sharedItems>
    </cacheField>
    <cacheField name="Temperature? " numFmtId="0">
      <sharedItems count="2">
        <s v="Hot"/>
        <s v="Cold"/>
      </sharedItems>
    </cacheField>
    <cacheField name="Drink style? (Select all that apply)" numFmtId="0">
      <sharedItems/>
    </cacheField>
    <cacheField name="Syrups? (Select all that apply)" numFmtId="0">
      <sharedItems/>
    </cacheField>
    <cacheField name="How is the quality of your drinks? (Each visit)" numFmtId="0">
      <sharedItems containsSemiMixedTypes="0" containsString="0" containsNumber="1" containsInteger="1" minValue="1" maxValue="5" count="3">
        <n v="1"/>
        <n v="5"/>
        <n v="4"/>
      </sharedItems>
    </cacheField>
    <cacheField name="How is the wait time? (Each visit)" numFmtId="0">
      <sharedItems containsSemiMixedTypes="0" containsString="0" containsNumber="1" containsInteger="1" minValue="1" maxValue="5" count="5">
        <n v="1"/>
        <n v="2"/>
        <n v="5"/>
        <n v="4"/>
        <n v="3"/>
      </sharedItems>
    </cacheField>
    <cacheField name="Likely to visit again?" numFmtId="0">
      <sharedItems containsSemiMixedTypes="0" containsString="0" containsNumber="1" containsInteger="1" minValue="1" maxValue="5" count="2">
        <n v="1"/>
        <n v="5"/>
      </sharedItems>
    </cacheField>
    <cacheField name="Enter your number to receive points towards your order each visit! (Optio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d v="2026-04-07T13:26:14"/>
    <d v="2026-04-07T13:29:12"/>
    <d v="1899-12-30T00:02:58"/>
    <s v="anonymous"/>
    <m/>
    <x v="0"/>
    <x v="0"/>
    <s v="Lattes;"/>
    <s v="Honey;"/>
    <x v="0"/>
    <x v="0"/>
    <x v="0"/>
    <m/>
  </r>
  <r>
    <n v="2"/>
    <d v="2026-04-07T14:22:09"/>
    <d v="2026-04-07T14:23:00"/>
    <d v="1899-12-30T00:00:51"/>
    <s v="anonymous"/>
    <m/>
    <x v="0"/>
    <x v="1"/>
    <s v="Lattes;"/>
    <s v="Maple;Seasonal Syrups;"/>
    <x v="0"/>
    <x v="1"/>
    <x v="0"/>
    <s v="911"/>
  </r>
  <r>
    <n v="3"/>
    <d v="2026-04-07T22:47:40"/>
    <d v="2026-04-07T22:48:22"/>
    <d v="1899-12-30T00:00:42"/>
    <s v="anonymous"/>
    <m/>
    <x v="1"/>
    <x v="0"/>
    <s v="Loose Leaf Tea;"/>
    <s v="Honey;"/>
    <x v="1"/>
    <x v="2"/>
    <x v="1"/>
    <m/>
  </r>
  <r>
    <n v="4"/>
    <d v="2026-04-07T23:46:33"/>
    <d v="2026-04-07T23:48:12"/>
    <d v="1899-12-30T00:01:39"/>
    <s v="anonymous"/>
    <m/>
    <x v="0"/>
    <x v="1"/>
    <s v="Drip;Pour Over;Cold Brew;Espresso;Cortado;Lattes;Loose Leaf Tea;"/>
    <s v="Vanilla;Caramel (w/Dairy);Mocha;Maple;Honey;Simple Syrup;Seasonal Syrups;None;"/>
    <x v="0"/>
    <x v="0"/>
    <x v="0"/>
    <s v="We are gonna send  you to the beach that makes you old!"/>
  </r>
  <r>
    <n v="5"/>
    <d v="2026-04-08T09:48:26"/>
    <d v="2026-04-08T09:49:11"/>
    <d v="1899-12-30T00:00:45"/>
    <s v="anonymous"/>
    <m/>
    <x v="2"/>
    <x v="1"/>
    <s v="Lattes;"/>
    <s v="Caramel (w/Dairy);"/>
    <x v="1"/>
    <x v="3"/>
    <x v="1"/>
    <s v="67"/>
  </r>
  <r>
    <n v="6"/>
    <d v="2026-04-08T11:13:18"/>
    <d v="2026-04-08T11:15:12"/>
    <d v="1899-12-30T00:01:54"/>
    <s v="anonymous"/>
    <m/>
    <x v="3"/>
    <x v="0"/>
    <s v="Pour Over;Cortado;Loose Leaf Tea;Lattes;"/>
    <s v="Honey;"/>
    <x v="1"/>
    <x v="2"/>
    <x v="1"/>
    <s v="2409991000"/>
  </r>
  <r>
    <n v="7"/>
    <d v="2026-04-08T13:27:18"/>
    <d v="2026-04-08T13:27:49"/>
    <d v="1899-12-30T00:00:31"/>
    <s v="anonymous"/>
    <m/>
    <x v="1"/>
    <x v="0"/>
    <s v="Loose Leaf Tea;"/>
    <s v="None;"/>
    <x v="1"/>
    <x v="2"/>
    <x v="1"/>
    <s v="456HAM"/>
  </r>
  <r>
    <n v="8"/>
    <d v="2026-04-08T13:41:13"/>
    <d v="2026-04-08T13:41:43"/>
    <d v="1899-12-30T00:00:30"/>
    <s v="anonymous"/>
    <m/>
    <x v="2"/>
    <x v="1"/>
    <s v="Lattes;"/>
    <s v="Caramel (w/Dairy);Vanilla;"/>
    <x v="1"/>
    <x v="2"/>
    <x v="1"/>
    <s v="980-229-1593"/>
  </r>
  <r>
    <n v="9"/>
    <d v="2026-04-08T14:28:23"/>
    <d v="2026-04-08T14:31:01"/>
    <d v="1899-12-30T00:02:38"/>
    <s v="anonymous"/>
    <m/>
    <x v="1"/>
    <x v="1"/>
    <s v="Lattes;Loose Leaf Tea;"/>
    <s v="Vanilla;Caramel (w/Dairy);Maple;"/>
    <x v="2"/>
    <x v="4"/>
    <x v="1"/>
    <s v="000-000-0000"/>
  </r>
  <r>
    <n v="10"/>
    <d v="2026-04-08T22:32:55"/>
    <d v="2026-04-08T22:33:21"/>
    <d v="1899-12-30T00:00:26"/>
    <s v="anonymous"/>
    <m/>
    <x v="2"/>
    <x v="1"/>
    <s v="Espresso;Cold Brew;Lattes;"/>
    <s v="Vanilla;"/>
    <x v="1"/>
    <x v="2"/>
    <x v="1"/>
    <m/>
  </r>
  <r>
    <n v="11"/>
    <d v="2026-04-09T06:56:08"/>
    <d v="2026-04-09T06:57:32"/>
    <d v="1899-12-30T00:01:24"/>
    <s v="anonymous"/>
    <m/>
    <x v="2"/>
    <x v="0"/>
    <s v="Espresso;"/>
    <s v="Vanilla;Caramel (w/Dairy);"/>
    <x v="1"/>
    <x v="4"/>
    <x v="1"/>
    <m/>
  </r>
  <r>
    <n v="12"/>
    <d v="2026-04-09T11:37:49"/>
    <d v="2026-04-09T11:38:13"/>
    <d v="1899-12-30T00:00:24"/>
    <s v="anonymous"/>
    <m/>
    <x v="1"/>
    <x v="0"/>
    <s v="Cortado;"/>
    <s v="Mocha;"/>
    <x v="1"/>
    <x v="2"/>
    <x v="1"/>
    <s v="5454545454"/>
  </r>
  <r>
    <n v="13"/>
    <d v="2026-04-09T11:31:58"/>
    <d v="2026-04-09T11:45:38"/>
    <d v="1899-12-30T00:13:40"/>
    <s v="anonymous"/>
    <m/>
    <x v="1"/>
    <x v="0"/>
    <s v="Pour Over;"/>
    <s v="Caramel (w/Dairy);"/>
    <x v="1"/>
    <x v="2"/>
    <x v="0"/>
    <s v="718-704-2959"/>
  </r>
  <r>
    <n v="14"/>
    <d v="2026-04-09T11:47:12"/>
    <d v="2026-04-09T11:51:23"/>
    <d v="1899-12-30T00:04:11"/>
    <s v="anonymous"/>
    <m/>
    <x v="4"/>
    <x v="1"/>
    <s v="Pour Over;"/>
    <s v="None;"/>
    <x v="1"/>
    <x v="1"/>
    <x v="1"/>
    <s v="201-192-6969"/>
  </r>
  <r>
    <n v="15"/>
    <d v="2026-04-09T12:14:32"/>
    <d v="2026-04-09T12:14:54"/>
    <d v="1899-12-30T00:00:22"/>
    <s v="anonymous"/>
    <m/>
    <x v="1"/>
    <x v="1"/>
    <s v="Loose Leaf Tea;"/>
    <s v="Simple Syrup;"/>
    <x v="1"/>
    <x v="2"/>
    <x v="1"/>
    <m/>
  </r>
  <r>
    <n v="16"/>
    <d v="2026-04-09T12:14:57"/>
    <d v="2026-04-09T12:15:31"/>
    <d v="1899-12-30T00:00:34"/>
    <s v="anonymous"/>
    <m/>
    <x v="2"/>
    <x v="0"/>
    <s v="Cold Brew;"/>
    <s v="Mocha;Vanilla;"/>
    <x v="1"/>
    <x v="3"/>
    <x v="1"/>
    <m/>
  </r>
  <r>
    <n v="17"/>
    <d v="2026-04-09T12:17:49"/>
    <d v="2026-04-09T12:18:19"/>
    <d v="1899-12-30T00:00:30"/>
    <s v="anonymous"/>
    <m/>
    <x v="2"/>
    <x v="0"/>
    <s v="Cortado;"/>
    <s v="Vanilla;Seasonal Syrups;Simple Syrup;"/>
    <x v="1"/>
    <x v="2"/>
    <x v="1"/>
    <m/>
  </r>
  <r>
    <n v="18"/>
    <d v="2026-04-09T12:18:31"/>
    <d v="2026-04-09T12:19:35"/>
    <d v="1899-12-30T00:01:04"/>
    <s v="anonymous"/>
    <m/>
    <x v="1"/>
    <x v="1"/>
    <s v="Loose Leaf Tea;Lattes;"/>
    <s v="Simple Syrup;Seasonal Syrups;"/>
    <x v="1"/>
    <x v="2"/>
    <x v="1"/>
    <m/>
  </r>
  <r>
    <n v="19"/>
    <d v="2026-04-09T12:20:34"/>
    <d v="2026-04-09T12:20:57"/>
    <d v="1899-12-30T00:00:23"/>
    <s v="anonymous"/>
    <m/>
    <x v="3"/>
    <x v="1"/>
    <s v="Lattes;Cold Brew;Loose Leaf Tea;"/>
    <s v="Vanilla;Mocha;Simple Syrup;Seasonal Syrups;"/>
    <x v="1"/>
    <x v="2"/>
    <x v="1"/>
    <m/>
  </r>
  <r>
    <n v="20"/>
    <d v="2026-04-09T12:21:02"/>
    <d v="2026-04-09T12:21:22"/>
    <d v="1899-12-30T00:00:20"/>
    <s v="anonymous"/>
    <m/>
    <x v="1"/>
    <x v="1"/>
    <s v="Cold Brew;Lattes;Loose Leaf Tea;"/>
    <s v="Vanilla;Mocha;Simple Syrup;Seasonal Syrups;"/>
    <x v="1"/>
    <x v="2"/>
    <x v="1"/>
    <m/>
  </r>
  <r>
    <n v="21"/>
    <d v="2026-04-09T12:22:26"/>
    <d v="2026-04-09T12:22:48"/>
    <d v="1899-12-30T00:00:22"/>
    <s v="anonymous"/>
    <m/>
    <x v="3"/>
    <x v="1"/>
    <s v="Cold Brew;Lattes;Loose Leaf Tea;"/>
    <s v="Vanilla;Mocha;Simple Syrup;Seasonal Syrups;"/>
    <x v="1"/>
    <x v="2"/>
    <x v="1"/>
    <m/>
  </r>
  <r>
    <n v="22"/>
    <d v="2026-04-09T12:24:09"/>
    <d v="2026-04-09T12:24:31"/>
    <d v="1899-12-30T00:00:22"/>
    <s v="anonymous"/>
    <m/>
    <x v="4"/>
    <x v="1"/>
    <s v="Cold Brew;Lattes;Loose Leaf Tea;"/>
    <s v="Vanilla;Simple Syrup;Seasonal Syrups;Mocha;"/>
    <x v="1"/>
    <x v="2"/>
    <x v="1"/>
    <m/>
  </r>
  <r>
    <n v="23"/>
    <d v="2026-04-09T12:25:13"/>
    <d v="2026-04-09T12:25:33"/>
    <d v="1899-12-30T00:00:20"/>
    <s v="anonymous"/>
    <m/>
    <x v="1"/>
    <x v="1"/>
    <s v="Lattes;Loose Leaf Tea;"/>
    <s v="Simple Syrup;Seasonal Syrups;"/>
    <x v="1"/>
    <x v="2"/>
    <x v="1"/>
    <m/>
  </r>
  <r>
    <n v="24"/>
    <d v="2026-04-09T12:26:10"/>
    <d v="2026-04-09T12:26:28"/>
    <d v="1899-12-30T00:00:18"/>
    <s v="anonymous"/>
    <m/>
    <x v="1"/>
    <x v="1"/>
    <s v="Lattes;Loose Leaf Tea;"/>
    <s v="Simple Syrup;Seasonal Syrups;"/>
    <x v="1"/>
    <x v="2"/>
    <x v="1"/>
    <m/>
  </r>
  <r>
    <n v="25"/>
    <d v="2026-04-09T12:26:49"/>
    <d v="2026-04-09T12:27:01"/>
    <d v="1899-12-30T00:00:12"/>
    <s v="anonymous"/>
    <m/>
    <x v="1"/>
    <x v="1"/>
    <s v="Lattes;Loose Leaf Tea;"/>
    <s v="Simple Syrup;Seasonal Syrups;"/>
    <x v="1"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46231-65C9-4530-A2D3-047E50BBDD8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7" firstHeaderRow="1" firstDataRow="1" firstDataCol="1"/>
  <pivotFields count="14">
    <pivotField dataField="1" showAll="0"/>
    <pivotField numFmtId="165" showAll="0"/>
    <pivotField numFmtId="165" showAll="0"/>
    <pivotField numFmtId="45"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axis="axisRow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6">
        <item x="0"/>
        <item x="1"/>
        <item x="4"/>
        <item x="3"/>
        <item x="2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2">
    <field x="7"/>
    <field x="6"/>
  </rowFields>
  <rowItems count="6">
    <i>
      <x v="1"/>
    </i>
    <i r="1">
      <x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Id" fld="0" subtotal="count" baseField="7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67BCD-650A-4071-9CD4-7A135C72273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B20" firstHeaderRow="1" firstDataRow="1" firstDataCol="1"/>
  <pivotFields count="14">
    <pivotField dataField="1" showAll="0"/>
    <pivotField numFmtId="165" showAll="0"/>
    <pivotField numFmtId="165" showAll="0"/>
    <pivotField numFmtId="45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7" totalsRowCount="1">
  <autoFilter ref="A1:N26" xr:uid="{00000000-0009-0000-0100-000001000000}"/>
  <tableColumns count="14">
    <tableColumn id="1" xr3:uid="{00000000-0010-0000-0000-000001000000}" name="Id" dataDxfId="27" totalsRow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6" totalsRowDxfId="1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5" totalsRowDxfId="11">
      <extLst>
        <ext xmlns:xlmsforms="http://schemas.microsoft.com/office/spreadsheetml/2023/msForms" uri="{FCC71383-01E1-4257-9335-427F07BE8D7F}">
          <xlmsforms:question id="submitDate"/>
        </ext>
      </extLst>
    </tableColumn>
    <tableColumn id="14" xr3:uid="{593E3BFD-145D-4CFE-B351-E36CCD862A4E}" name="Time to Complete" totalsRowFunction="custom" dataDxfId="24" totalsRowDxfId="10">
      <calculatedColumnFormula>OfficeForms.Table[[#This Row],[Completion time]]-OfficeForms.Table[[#This Row],[Start time]]</calculatedColumnFormula>
      <totalsRowFormula>AVERAGE(D2:D26)</totalsRowFormula>
    </tableColumn>
    <tableColumn id="4" xr3:uid="{00000000-0010-0000-0000-000004000000}" name="Email" dataDxfId="23" totalsRow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2" totalsRow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o you prefer tea or coffee? (Select all that apply)" totalsRowFunction="custom" dataDxfId="21" totalsRowDxfId="7">
      <totalsRowFormula>COUNTIF(OfficeForms.Table[[#Headers],[#Data],[Do you prefer tea or coffee? (Select all that apply)]],"*Tea*")</totalsRowFormula>
      <extLst>
        <ext xmlns:xlmsforms="http://schemas.microsoft.com/office/spreadsheetml/2023/msForms" uri="{FCC71383-01E1-4257-9335-427F07BE8D7F}">
          <xlmsforms:question id="r75a4d0ad76904f7fa12f99293a882362"/>
        </ext>
      </extLst>
    </tableColumn>
    <tableColumn id="7" xr3:uid="{00000000-0010-0000-0000-000007000000}" name="Temperature? " totalsRowFunction="custom" dataDxfId="20" totalsRowDxfId="6">
      <totalsRowFormula>COUNTIF(OfficeForms.Table[[#Headers],[#Data],[Temperature? ]],"*Cold*")</totalsRowFormula>
      <extLst>
        <ext xmlns:xlmsforms="http://schemas.microsoft.com/office/spreadsheetml/2023/msForms" uri="{FCC71383-01E1-4257-9335-427F07BE8D7F}">
          <xlmsforms:question id="r0380c8633a484e7d81a8a84524655784"/>
        </ext>
      </extLst>
    </tableColumn>
    <tableColumn id="8" xr3:uid="{00000000-0010-0000-0000-000008000000}" name="Drink style? (Select all that apply)" totalsRowFunction="custom" dataDxfId="19" totalsRowDxfId="5">
      <totalsRowFormula>COUNTIF(OfficeForms.Table[[#Headers],[#Data],[Drink style? (Select all that apply)]],"*Drip*")</totalsRowFormula>
      <extLst>
        <ext xmlns:xlmsforms="http://schemas.microsoft.com/office/spreadsheetml/2023/msForms" uri="{FCC71383-01E1-4257-9335-427F07BE8D7F}">
          <xlmsforms:question id="r208b8309610d4d8cb4aa2e91e45013e7"/>
        </ext>
      </extLst>
    </tableColumn>
    <tableColumn id="9" xr3:uid="{00000000-0010-0000-0000-000009000000}" name="Syrups? (Select all that apply)" totalsRowFunction="custom" dataDxfId="18" totalsRowDxfId="4">
      <totalsRowFormula>COUNTIF(OfficeForms.Table[[#Headers],[#Data],[Syrups? (Select all that apply)]],"*Vanilla*")</totalsRowFormula>
      <extLst>
        <ext xmlns:xlmsforms="http://schemas.microsoft.com/office/spreadsheetml/2023/msForms" uri="{FCC71383-01E1-4257-9335-427F07BE8D7F}">
          <xlmsforms:question id="ra1e66b3e92f84a3ea146a3a69daa67d1"/>
        </ext>
      </extLst>
    </tableColumn>
    <tableColumn id="10" xr3:uid="{00000000-0010-0000-0000-00000A000000}" name="How is the quality of your drinks? (Each visit)" totalsRowFunction="custom" dataDxfId="17" totalsRowDxfId="3">
      <totalsRowFormula>AVERAGE(OfficeForms.Table[[#Headers],[#Data],[How is the quality of your drinks? (Each visit)]])</totalsRowFormula>
      <extLst>
        <ext xmlns:xlmsforms="http://schemas.microsoft.com/office/spreadsheetml/2023/msForms" uri="{FCC71383-01E1-4257-9335-427F07BE8D7F}">
          <xlmsforms:question id="rfbcc404e3c5046de8d9d59efff03b45e"/>
        </ext>
      </extLst>
    </tableColumn>
    <tableColumn id="11" xr3:uid="{00000000-0010-0000-0000-00000B000000}" name="How is the wait time? (Each visit)" totalsRowFunction="custom" dataDxfId="16" totalsRowDxfId="2">
      <totalsRowFormula>AVERAGE(OfficeForms.Table[[#Headers],[#Data],[How is the wait time? (Each visit)]])</totalsRowFormula>
      <extLst>
        <ext xmlns:xlmsforms="http://schemas.microsoft.com/office/spreadsheetml/2023/msForms" uri="{FCC71383-01E1-4257-9335-427F07BE8D7F}">
          <xlmsforms:question id="raeb2b6d85ae44063b40add14c55dd268"/>
        </ext>
      </extLst>
    </tableColumn>
    <tableColumn id="12" xr3:uid="{00000000-0010-0000-0000-00000C000000}" name="Likely to visit again?" totalsRowFunction="custom" dataDxfId="15" totalsRowDxfId="1">
      <totalsRowFormula>AVERAGE(OfficeForms.Table[[#Headers],[#Data],[Likely to visit again?]])</totalsRowFormula>
      <extLst>
        <ext xmlns:xlmsforms="http://schemas.microsoft.com/office/spreadsheetml/2023/msForms" uri="{FCC71383-01E1-4257-9335-427F07BE8D7F}">
          <xlmsforms:question id="r431a31dfe80b42898fbee3906a302e78"/>
        </ext>
      </extLst>
    </tableColumn>
    <tableColumn id="13" xr3:uid="{00000000-0010-0000-0000-00000D000000}" name="Enter your number to receive points towards your order each visit! (Optional)" dataDxfId="14" totalsRowDxfId="0">
      <extLst>
        <ext xmlns:xlmsforms="http://schemas.microsoft.com/office/spreadsheetml/2023/msForms" uri="{FCC71383-01E1-4257-9335-427F07BE8D7F}">
          <xlmsforms:question id="r4e51cc5e6d35494980282f9687472d8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2IzRlf8RPdGgw3i3WHCuRtUMElRTjNFTDgxUlpXVFM0Skg1WTBYTFVVQi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r75a4d0ad76904f7fa12f99293a882362</xlmsforms:syncedQuestionId>
        <xlmsforms:syncedQuestionId>r0380c8633a484e7d81a8a84524655784</xlmsforms:syncedQuestionId>
        <xlmsforms:syncedQuestionId>r208b8309610d4d8cb4aa2e91e45013e7</xlmsforms:syncedQuestionId>
        <xlmsforms:syncedQuestionId>ra1e66b3e92f84a3ea146a3a69daa67d1</xlmsforms:syncedQuestionId>
        <xlmsforms:syncedQuestionId>rfbcc404e3c5046de8d9d59efff03b45e</xlmsforms:syncedQuestionId>
        <xlmsforms:syncedQuestionId>raeb2b6d85ae44063b40add14c55dd268</xlmsforms:syncedQuestionId>
        <xlmsforms:syncedQuestionId>r431a31dfe80b42898fbee3906a302e78</xlmsforms:syncedQuestionId>
        <xlmsforms:syncedQuestionId>r4e51cc5e6d35494980282f9687472d89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A2" zoomScale="108" workbookViewId="0">
      <selection activeCell="C15" sqref="C15"/>
    </sheetView>
  </sheetViews>
  <sheetFormatPr defaultRowHeight="14.4" x14ac:dyDescent="0.3"/>
  <cols>
    <col min="1" max="1" width="7.77734375" bestFit="1" customWidth="1"/>
    <col min="2" max="2" width="20.21875" style="4" bestFit="1" customWidth="1"/>
    <col min="3" max="3" width="24.77734375" style="4" bestFit="1" customWidth="1"/>
    <col min="4" max="4" width="26.33203125" style="5" bestFit="1" customWidth="1"/>
    <col min="5" max="7" width="20" bestFit="1" customWidth="1"/>
    <col min="8" max="8" width="22.5546875" bestFit="1" customWidth="1"/>
    <col min="9" max="9" width="70.44140625" bestFit="1" customWidth="1"/>
    <col min="10" max="10" width="88.44140625" bestFit="1" customWidth="1"/>
    <col min="11" max="11" width="61" bestFit="1" customWidth="1"/>
    <col min="12" max="12" width="45.5546875" bestFit="1" customWidth="1"/>
    <col min="13" max="13" width="30.33203125" bestFit="1" customWidth="1"/>
    <col min="14" max="14" width="99" bestFit="1" customWidth="1"/>
  </cols>
  <sheetData>
    <row r="1" spans="1:14" x14ac:dyDescent="0.3">
      <c r="A1" t="s">
        <v>0</v>
      </c>
      <c r="B1" s="4" t="s">
        <v>1</v>
      </c>
      <c r="C1" s="4" t="s">
        <v>2</v>
      </c>
      <c r="D1" s="5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s="4">
        <v>46119.559884259259</v>
      </c>
      <c r="C2" s="4">
        <v>46119.561944444446</v>
      </c>
      <c r="D2" s="5">
        <f>OfficeForms.Table[[#This Row],[Completion time]]-OfficeForms.Table[[#This Row],[Start time]]</f>
        <v>2.0601851865649223E-3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>
        <v>1</v>
      </c>
      <c r="L2">
        <v>1</v>
      </c>
      <c r="M2">
        <v>1</v>
      </c>
    </row>
    <row r="3" spans="1:14" x14ac:dyDescent="0.3">
      <c r="A3">
        <v>2</v>
      </c>
      <c r="B3" s="4">
        <v>46119.598715277774</v>
      </c>
      <c r="C3" s="4">
        <v>46119.599305555559</v>
      </c>
      <c r="D3" s="5">
        <f>OfficeForms.Table[[#This Row],[Completion time]]-OfficeForms.Table[[#This Row],[Start time]]</f>
        <v>5.9027778479503468E-4</v>
      </c>
      <c r="E3" t="s">
        <v>13</v>
      </c>
      <c r="G3" t="s">
        <v>14</v>
      </c>
      <c r="H3" t="s">
        <v>18</v>
      </c>
      <c r="I3" t="s">
        <v>16</v>
      </c>
      <c r="J3" t="s">
        <v>19</v>
      </c>
      <c r="K3">
        <v>1</v>
      </c>
      <c r="L3">
        <v>2</v>
      </c>
      <c r="M3">
        <v>1</v>
      </c>
      <c r="N3" s="1" t="s">
        <v>20</v>
      </c>
    </row>
    <row r="4" spans="1:14" x14ac:dyDescent="0.3">
      <c r="A4">
        <v>3</v>
      </c>
      <c r="B4" s="4">
        <v>46119.94976851852</v>
      </c>
      <c r="C4" s="4">
        <v>46119.950254629628</v>
      </c>
      <c r="D4" s="5">
        <f>OfficeForms.Table[[#This Row],[Completion time]]-OfficeForms.Table[[#This Row],[Start time]]</f>
        <v>4.8611110833007842E-4</v>
      </c>
      <c r="E4" t="s">
        <v>13</v>
      </c>
      <c r="G4" t="s">
        <v>21</v>
      </c>
      <c r="H4" t="s">
        <v>15</v>
      </c>
      <c r="I4" t="s">
        <v>22</v>
      </c>
      <c r="J4" t="s">
        <v>17</v>
      </c>
      <c r="K4">
        <v>5</v>
      </c>
      <c r="L4">
        <v>5</v>
      </c>
      <c r="M4">
        <v>5</v>
      </c>
    </row>
    <row r="5" spans="1:14" x14ac:dyDescent="0.3">
      <c r="A5">
        <v>4</v>
      </c>
      <c r="B5" s="4">
        <v>46119.990659722222</v>
      </c>
      <c r="C5" s="4">
        <v>46119.991805555554</v>
      </c>
      <c r="D5" s="5">
        <f>OfficeForms.Table[[#This Row],[Completion time]]-OfficeForms.Table[[#This Row],[Start time]]</f>
        <v>1.1458333319751546E-3</v>
      </c>
      <c r="E5" t="s">
        <v>13</v>
      </c>
      <c r="G5" t="s">
        <v>14</v>
      </c>
      <c r="H5" t="s">
        <v>18</v>
      </c>
      <c r="I5" t="s">
        <v>23</v>
      </c>
      <c r="J5" t="s">
        <v>24</v>
      </c>
      <c r="K5">
        <v>1</v>
      </c>
      <c r="L5">
        <v>1</v>
      </c>
      <c r="M5">
        <v>1</v>
      </c>
      <c r="N5" t="s">
        <v>25</v>
      </c>
    </row>
    <row r="6" spans="1:14" x14ac:dyDescent="0.3">
      <c r="A6">
        <v>5</v>
      </c>
      <c r="B6" s="4">
        <v>46120.408634259256</v>
      </c>
      <c r="C6" s="4">
        <v>46120.409155092595</v>
      </c>
      <c r="D6" s="5">
        <f>OfficeForms.Table[[#This Row],[Completion time]]-OfficeForms.Table[[#This Row],[Start time]]</f>
        <v>5.2083333866903558E-4</v>
      </c>
      <c r="E6" t="s">
        <v>13</v>
      </c>
      <c r="G6" t="s">
        <v>26</v>
      </c>
      <c r="H6" t="s">
        <v>18</v>
      </c>
      <c r="I6" t="s">
        <v>16</v>
      </c>
      <c r="J6" t="s">
        <v>27</v>
      </c>
      <c r="K6">
        <v>5</v>
      </c>
      <c r="L6">
        <v>4</v>
      </c>
      <c r="M6">
        <v>5</v>
      </c>
      <c r="N6" s="1" t="s">
        <v>28</v>
      </c>
    </row>
    <row r="7" spans="1:14" x14ac:dyDescent="0.3">
      <c r="A7">
        <v>6</v>
      </c>
      <c r="B7" s="4">
        <v>46120.467569444445</v>
      </c>
      <c r="C7" s="4">
        <v>46120.468888888892</v>
      </c>
      <c r="D7" s="5">
        <f>OfficeForms.Table[[#This Row],[Completion time]]-OfficeForms.Table[[#This Row],[Start time]]</f>
        <v>1.3194444472901523E-3</v>
      </c>
      <c r="E7" t="s">
        <v>13</v>
      </c>
      <c r="G7" t="s">
        <v>29</v>
      </c>
      <c r="H7" t="s">
        <v>15</v>
      </c>
      <c r="I7" t="s">
        <v>30</v>
      </c>
      <c r="J7" t="s">
        <v>17</v>
      </c>
      <c r="K7">
        <v>5</v>
      </c>
      <c r="L7">
        <v>5</v>
      </c>
      <c r="M7">
        <v>5</v>
      </c>
      <c r="N7" s="1" t="s">
        <v>31</v>
      </c>
    </row>
    <row r="8" spans="1:14" x14ac:dyDescent="0.3">
      <c r="A8">
        <v>7</v>
      </c>
      <c r="B8" s="4">
        <v>46120.560624999998</v>
      </c>
      <c r="C8" s="4">
        <v>46120.560983796298</v>
      </c>
      <c r="D8" s="5">
        <f>OfficeForms.Table[[#This Row],[Completion time]]-OfficeForms.Table[[#This Row],[Start time]]</f>
        <v>3.5879630013369024E-4</v>
      </c>
      <c r="E8" t="s">
        <v>13</v>
      </c>
      <c r="G8" t="s">
        <v>21</v>
      </c>
      <c r="H8" t="s">
        <v>15</v>
      </c>
      <c r="I8" t="s">
        <v>22</v>
      </c>
      <c r="J8" t="s">
        <v>32</v>
      </c>
      <c r="K8">
        <v>5</v>
      </c>
      <c r="L8">
        <v>5</v>
      </c>
      <c r="M8">
        <v>5</v>
      </c>
      <c r="N8" t="s">
        <v>33</v>
      </c>
    </row>
    <row r="9" spans="1:14" x14ac:dyDescent="0.3">
      <c r="A9">
        <v>8</v>
      </c>
      <c r="B9" s="4">
        <v>46120.570289351854</v>
      </c>
      <c r="C9" s="4">
        <v>46120.570636574077</v>
      </c>
      <c r="D9" s="5">
        <f>OfficeForms.Table[[#This Row],[Completion time]]-OfficeForms.Table[[#This Row],[Start time]]</f>
        <v>3.4722222335403785E-4</v>
      </c>
      <c r="E9" t="s">
        <v>13</v>
      </c>
      <c r="G9" t="s">
        <v>26</v>
      </c>
      <c r="H9" t="s">
        <v>18</v>
      </c>
      <c r="I9" t="s">
        <v>16</v>
      </c>
      <c r="J9" t="s">
        <v>34</v>
      </c>
      <c r="K9">
        <v>5</v>
      </c>
      <c r="L9">
        <v>5</v>
      </c>
      <c r="M9">
        <v>5</v>
      </c>
      <c r="N9" t="s">
        <v>35</v>
      </c>
    </row>
    <row r="10" spans="1:14" x14ac:dyDescent="0.3">
      <c r="A10">
        <v>9</v>
      </c>
      <c r="B10" s="4">
        <v>46120.603043981479</v>
      </c>
      <c r="C10" s="4">
        <v>46120.604872685188</v>
      </c>
      <c r="D10" s="5">
        <f>OfficeForms.Table[[#This Row],[Completion time]]-OfficeForms.Table[[#This Row],[Start time]]</f>
        <v>1.8287037091795355E-3</v>
      </c>
      <c r="E10" t="s">
        <v>13</v>
      </c>
      <c r="G10" t="s">
        <v>21</v>
      </c>
      <c r="H10" t="s">
        <v>18</v>
      </c>
      <c r="I10" t="s">
        <v>36</v>
      </c>
      <c r="J10" t="s">
        <v>37</v>
      </c>
      <c r="K10">
        <v>4</v>
      </c>
      <c r="L10">
        <v>3</v>
      </c>
      <c r="M10">
        <v>5</v>
      </c>
      <c r="N10" t="s">
        <v>38</v>
      </c>
    </row>
    <row r="11" spans="1:14" x14ac:dyDescent="0.3">
      <c r="A11">
        <v>10</v>
      </c>
      <c r="B11" s="4">
        <v>46120.939525462964</v>
      </c>
      <c r="C11" s="4">
        <v>46120.939826388887</v>
      </c>
      <c r="D11" s="5">
        <f>OfficeForms.Table[[#This Row],[Completion time]]-OfficeForms.Table[[#This Row],[Start time]]</f>
        <v>3.0092592351138592E-4</v>
      </c>
      <c r="E11" t="s">
        <v>13</v>
      </c>
      <c r="G11" t="s">
        <v>26</v>
      </c>
      <c r="H11" t="s">
        <v>18</v>
      </c>
      <c r="I11" t="s">
        <v>39</v>
      </c>
      <c r="J11" t="s">
        <v>40</v>
      </c>
      <c r="K11">
        <v>5</v>
      </c>
      <c r="L11">
        <v>5</v>
      </c>
      <c r="M11">
        <v>5</v>
      </c>
    </row>
    <row r="12" spans="1:14" x14ac:dyDescent="0.3">
      <c r="A12">
        <v>11</v>
      </c>
      <c r="B12" s="4">
        <v>46121.288981481484</v>
      </c>
      <c r="C12" s="4">
        <v>46121.289953703701</v>
      </c>
      <c r="D12" s="5">
        <f>OfficeForms.Table[[#This Row],[Completion time]]-OfficeForms.Table[[#This Row],[Start time]]</f>
        <v>9.7222221666015685E-4</v>
      </c>
      <c r="E12" t="s">
        <v>13</v>
      </c>
      <c r="G12" t="s">
        <v>26</v>
      </c>
      <c r="H12" t="s">
        <v>15</v>
      </c>
      <c r="I12" t="s">
        <v>41</v>
      </c>
      <c r="J12" t="s">
        <v>42</v>
      </c>
      <c r="K12">
        <v>5</v>
      </c>
      <c r="L12">
        <v>3</v>
      </c>
      <c r="M12">
        <v>5</v>
      </c>
    </row>
    <row r="13" spans="1:14" x14ac:dyDescent="0.3">
      <c r="A13">
        <v>12</v>
      </c>
      <c r="B13" s="4">
        <v>46121.484594907408</v>
      </c>
      <c r="C13" s="4">
        <v>46121.484872685185</v>
      </c>
      <c r="D13" s="5">
        <f>OfficeForms.Table[[#This Row],[Completion time]]-OfficeForms.Table[[#This Row],[Start time]]</f>
        <v>2.7777777722803876E-4</v>
      </c>
      <c r="E13" t="s">
        <v>13</v>
      </c>
      <c r="G13" t="s">
        <v>21</v>
      </c>
      <c r="H13" t="s">
        <v>15</v>
      </c>
      <c r="I13" t="s">
        <v>43</v>
      </c>
      <c r="J13" t="s">
        <v>44</v>
      </c>
      <c r="K13">
        <v>5</v>
      </c>
      <c r="L13">
        <v>5</v>
      </c>
      <c r="M13">
        <v>5</v>
      </c>
      <c r="N13" s="1" t="s">
        <v>45</v>
      </c>
    </row>
    <row r="14" spans="1:14" x14ac:dyDescent="0.3">
      <c r="A14">
        <v>13</v>
      </c>
      <c r="B14" s="4">
        <v>46121.480532407404</v>
      </c>
      <c r="C14" s="4">
        <v>46121.490023148152</v>
      </c>
      <c r="D14" s="5">
        <f>OfficeForms.Table[[#This Row],[Completion time]]-OfficeForms.Table[[#This Row],[Start time]]</f>
        <v>9.4907407474238425E-3</v>
      </c>
      <c r="E14" t="s">
        <v>13</v>
      </c>
      <c r="G14" t="s">
        <v>21</v>
      </c>
      <c r="H14" t="s">
        <v>15</v>
      </c>
      <c r="I14" t="s">
        <v>46</v>
      </c>
      <c r="J14" t="s">
        <v>27</v>
      </c>
      <c r="K14">
        <v>5</v>
      </c>
      <c r="L14">
        <v>5</v>
      </c>
      <c r="M14">
        <v>1</v>
      </c>
      <c r="N14" t="s">
        <v>47</v>
      </c>
    </row>
    <row r="15" spans="1:14" x14ac:dyDescent="0.3">
      <c r="A15">
        <v>14</v>
      </c>
      <c r="B15" s="4">
        <v>46121.491111111114</v>
      </c>
      <c r="C15" s="4">
        <v>46121.494016203702</v>
      </c>
      <c r="D15" s="5">
        <f>OfficeForms.Table[[#This Row],[Completion time]]-OfficeForms.Table[[#This Row],[Start time]]</f>
        <v>2.9050925877527334E-3</v>
      </c>
      <c r="E15" t="s">
        <v>13</v>
      </c>
      <c r="G15" t="s">
        <v>48</v>
      </c>
      <c r="H15" t="s">
        <v>18</v>
      </c>
      <c r="I15" t="s">
        <v>46</v>
      </c>
      <c r="J15" t="s">
        <v>32</v>
      </c>
      <c r="K15">
        <v>5</v>
      </c>
      <c r="L15">
        <v>2</v>
      </c>
      <c r="M15">
        <v>5</v>
      </c>
      <c r="N15" t="s">
        <v>49</v>
      </c>
    </row>
    <row r="16" spans="1:14" x14ac:dyDescent="0.3">
      <c r="A16">
        <v>15</v>
      </c>
      <c r="B16" s="4">
        <v>46121.510092592594</v>
      </c>
      <c r="C16" s="4">
        <v>46121.510347222225</v>
      </c>
      <c r="D16" s="5">
        <f>OfficeForms.Table[[#This Row],[Completion time]]-OfficeForms.Table[[#This Row],[Start time]]</f>
        <v>2.546296309446916E-4</v>
      </c>
      <c r="E16" t="s">
        <v>13</v>
      </c>
      <c r="G16" t="s">
        <v>21</v>
      </c>
      <c r="H16" t="s">
        <v>18</v>
      </c>
      <c r="I16" t="s">
        <v>22</v>
      </c>
      <c r="J16" t="s">
        <v>50</v>
      </c>
      <c r="K16">
        <v>5</v>
      </c>
      <c r="L16">
        <v>5</v>
      </c>
      <c r="M16">
        <v>5</v>
      </c>
    </row>
    <row r="17" spans="1:14" x14ac:dyDescent="0.3">
      <c r="A17">
        <v>16</v>
      </c>
      <c r="B17" s="4">
        <v>46121.510381944441</v>
      </c>
      <c r="C17" s="4">
        <v>46121.510775462964</v>
      </c>
      <c r="D17" s="5">
        <f>OfficeForms.Table[[#This Row],[Completion time]]-OfficeForms.Table[[#This Row],[Start time]]</f>
        <v>3.9351852319668978E-4</v>
      </c>
      <c r="E17" t="s">
        <v>13</v>
      </c>
      <c r="G17" t="s">
        <v>26</v>
      </c>
      <c r="H17" t="s">
        <v>15</v>
      </c>
      <c r="I17" t="s">
        <v>51</v>
      </c>
      <c r="J17" t="s">
        <v>52</v>
      </c>
      <c r="K17">
        <v>5</v>
      </c>
      <c r="L17">
        <v>4</v>
      </c>
      <c r="M17">
        <v>5</v>
      </c>
    </row>
    <row r="18" spans="1:14" x14ac:dyDescent="0.3">
      <c r="A18">
        <v>17</v>
      </c>
      <c r="B18" s="4">
        <v>46121.512372685182</v>
      </c>
      <c r="C18" s="4">
        <v>46121.512719907405</v>
      </c>
      <c r="D18" s="5">
        <f>OfficeForms.Table[[#This Row],[Completion time]]-OfficeForms.Table[[#This Row],[Start time]]</f>
        <v>3.4722222335403785E-4</v>
      </c>
      <c r="E18" t="s">
        <v>13</v>
      </c>
      <c r="G18" t="s">
        <v>26</v>
      </c>
      <c r="H18" t="s">
        <v>15</v>
      </c>
      <c r="I18" t="s">
        <v>43</v>
      </c>
      <c r="J18" t="s">
        <v>53</v>
      </c>
      <c r="K18">
        <v>5</v>
      </c>
      <c r="L18">
        <v>5</v>
      </c>
      <c r="M18">
        <v>5</v>
      </c>
    </row>
    <row r="19" spans="1:14" x14ac:dyDescent="0.3">
      <c r="A19">
        <v>18</v>
      </c>
      <c r="B19" s="4">
        <v>46121.512858796297</v>
      </c>
      <c r="C19" s="4">
        <v>46121.513599537036</v>
      </c>
      <c r="D19" s="5">
        <f>OfficeForms.Table[[#This Row],[Completion time]]-OfficeForms.Table[[#This Row],[Start time]]</f>
        <v>7.4074073927477002E-4</v>
      </c>
      <c r="E19" t="s">
        <v>13</v>
      </c>
      <c r="G19" t="s">
        <v>21</v>
      </c>
      <c r="H19" t="s">
        <v>18</v>
      </c>
      <c r="I19" t="s">
        <v>54</v>
      </c>
      <c r="J19" t="s">
        <v>55</v>
      </c>
      <c r="K19">
        <v>5</v>
      </c>
      <c r="L19">
        <v>5</v>
      </c>
      <c r="M19">
        <v>5</v>
      </c>
    </row>
    <row r="20" spans="1:14" x14ac:dyDescent="0.3">
      <c r="A20">
        <v>19</v>
      </c>
      <c r="B20" s="4">
        <v>46121.514282407406</v>
      </c>
      <c r="C20" s="4">
        <v>46121.514548611114</v>
      </c>
      <c r="D20" s="5">
        <f>OfficeForms.Table[[#This Row],[Completion time]]-OfficeForms.Table[[#This Row],[Start time]]</f>
        <v>2.6620370772434399E-4</v>
      </c>
      <c r="E20" t="s">
        <v>13</v>
      </c>
      <c r="G20" t="s">
        <v>29</v>
      </c>
      <c r="H20" t="s">
        <v>18</v>
      </c>
      <c r="I20" t="s">
        <v>56</v>
      </c>
      <c r="J20" t="s">
        <v>57</v>
      </c>
      <c r="K20">
        <v>5</v>
      </c>
      <c r="L20">
        <v>5</v>
      </c>
      <c r="M20">
        <v>5</v>
      </c>
    </row>
    <row r="21" spans="1:14" x14ac:dyDescent="0.3">
      <c r="A21">
        <v>20</v>
      </c>
      <c r="B21" s="4">
        <v>46121.514606481483</v>
      </c>
      <c r="C21" s="4">
        <v>46121.514837962961</v>
      </c>
      <c r="D21" s="5">
        <f>OfficeForms.Table[[#This Row],[Completion time]]-OfficeForms.Table[[#This Row],[Start time]]</f>
        <v>2.3148147738538682E-4</v>
      </c>
      <c r="E21" t="s">
        <v>13</v>
      </c>
      <c r="G21" t="s">
        <v>21</v>
      </c>
      <c r="H21" t="s">
        <v>18</v>
      </c>
      <c r="I21" t="s">
        <v>58</v>
      </c>
      <c r="J21" t="s">
        <v>57</v>
      </c>
      <c r="K21">
        <v>5</v>
      </c>
      <c r="L21">
        <v>5</v>
      </c>
      <c r="M21">
        <v>5</v>
      </c>
    </row>
    <row r="22" spans="1:14" x14ac:dyDescent="0.3">
      <c r="A22">
        <v>21</v>
      </c>
      <c r="B22" s="4">
        <v>46121.5155787037</v>
      </c>
      <c r="C22" s="4">
        <v>46121.515833333331</v>
      </c>
      <c r="D22" s="5">
        <f>OfficeForms.Table[[#This Row],[Completion time]]-OfficeForms.Table[[#This Row],[Start time]]</f>
        <v>2.546296309446916E-4</v>
      </c>
      <c r="E22" t="s">
        <v>13</v>
      </c>
      <c r="G22" t="s">
        <v>29</v>
      </c>
      <c r="H22" t="s">
        <v>18</v>
      </c>
      <c r="I22" t="s">
        <v>58</v>
      </c>
      <c r="J22" t="s">
        <v>57</v>
      </c>
      <c r="K22">
        <v>5</v>
      </c>
      <c r="L22">
        <v>5</v>
      </c>
      <c r="M22">
        <v>5</v>
      </c>
    </row>
    <row r="23" spans="1:14" x14ac:dyDescent="0.3">
      <c r="A23">
        <v>22</v>
      </c>
      <c r="B23" s="4">
        <v>46121.516770833332</v>
      </c>
      <c r="C23" s="4">
        <v>46121.517025462963</v>
      </c>
      <c r="D23" s="5">
        <f>OfficeForms.Table[[#This Row],[Completion time]]-OfficeForms.Table[[#This Row],[Start time]]</f>
        <v>2.546296309446916E-4</v>
      </c>
      <c r="E23" t="s">
        <v>13</v>
      </c>
      <c r="G23" t="s">
        <v>48</v>
      </c>
      <c r="H23" t="s">
        <v>18</v>
      </c>
      <c r="I23" t="s">
        <v>58</v>
      </c>
      <c r="J23" t="s">
        <v>59</v>
      </c>
      <c r="K23">
        <v>5</v>
      </c>
      <c r="L23">
        <v>5</v>
      </c>
      <c r="M23">
        <v>5</v>
      </c>
    </row>
    <row r="24" spans="1:14" x14ac:dyDescent="0.3">
      <c r="A24">
        <v>23</v>
      </c>
      <c r="B24" s="4">
        <v>46121.517511574071</v>
      </c>
      <c r="C24" s="4">
        <v>46121.517743055556</v>
      </c>
      <c r="D24" s="5">
        <f>OfficeForms.Table[[#This Row],[Completion time]]-OfficeForms.Table[[#This Row],[Start time]]</f>
        <v>2.3148148466134444E-4</v>
      </c>
      <c r="E24" t="s">
        <v>13</v>
      </c>
      <c r="G24" t="s">
        <v>21</v>
      </c>
      <c r="H24" t="s">
        <v>18</v>
      </c>
      <c r="I24" t="s">
        <v>36</v>
      </c>
      <c r="J24" t="s">
        <v>55</v>
      </c>
      <c r="K24">
        <v>5</v>
      </c>
      <c r="L24">
        <v>5</v>
      </c>
      <c r="M24">
        <v>5</v>
      </c>
    </row>
    <row r="25" spans="1:14" x14ac:dyDescent="0.3">
      <c r="A25">
        <v>24</v>
      </c>
      <c r="B25" s="4">
        <v>46121.518171296295</v>
      </c>
      <c r="C25" s="4">
        <v>46121.518379629626</v>
      </c>
      <c r="D25" s="5">
        <f>OfficeForms.Table[[#This Row],[Completion time]]-OfficeForms.Table[[#This Row],[Start time]]</f>
        <v>2.0833333110203966E-4</v>
      </c>
      <c r="E25" t="s">
        <v>13</v>
      </c>
      <c r="G25" t="s">
        <v>21</v>
      </c>
      <c r="H25" t="s">
        <v>18</v>
      </c>
      <c r="I25" t="s">
        <v>36</v>
      </c>
      <c r="J25" t="s">
        <v>55</v>
      </c>
      <c r="K25">
        <v>5</v>
      </c>
      <c r="L25">
        <v>5</v>
      </c>
      <c r="M25">
        <v>5</v>
      </c>
    </row>
    <row r="26" spans="1:14" x14ac:dyDescent="0.3">
      <c r="A26">
        <v>25</v>
      </c>
      <c r="B26" s="4">
        <v>46121.518622685187</v>
      </c>
      <c r="C26" s="4">
        <v>46121.518761574072</v>
      </c>
      <c r="D26" s="5">
        <f>OfficeForms.Table[[#This Row],[Completion time]]-OfficeForms.Table[[#This Row],[Start time]]</f>
        <v>1.3888888497604057E-4</v>
      </c>
      <c r="E26" t="s">
        <v>13</v>
      </c>
      <c r="G26" t="s">
        <v>21</v>
      </c>
      <c r="H26" t="s">
        <v>18</v>
      </c>
      <c r="I26" t="s">
        <v>36</v>
      </c>
      <c r="J26" t="s">
        <v>55</v>
      </c>
      <c r="K26">
        <v>5</v>
      </c>
      <c r="L26">
        <v>5</v>
      </c>
      <c r="M26">
        <v>5</v>
      </c>
    </row>
    <row r="27" spans="1:14" x14ac:dyDescent="0.3">
      <c r="A27" s="3"/>
      <c r="D27" s="5">
        <f>AVERAGE(D2:D26)</f>
        <v>1.037037037895061E-3</v>
      </c>
      <c r="E27" s="2"/>
      <c r="F27" s="2"/>
      <c r="G27" s="3">
        <f>COUNTIF(OfficeForms.Table[[#Headers],[#Data],[Do you prefer tea or coffee? (Select all that apply)]],"*Tea*")</f>
        <v>17</v>
      </c>
      <c r="H27" s="3">
        <f>COUNTIF(OfficeForms.Table[[#Headers],[#Data],[Temperature? ]],"*Cold*")</f>
        <v>16</v>
      </c>
      <c r="I27" s="3">
        <f>COUNTIF(OfficeForms.Table[[#Headers],[#Data],[Drink style? (Select all that apply)]],"*Drip*")</f>
        <v>1</v>
      </c>
      <c r="J27" s="3">
        <f>COUNTIF(OfficeForms.Table[[#Headers],[#Data],[Syrups? (Select all that apply)]],"*Vanilla*")</f>
        <v>11</v>
      </c>
      <c r="K27" s="3">
        <f>AVERAGE(OfficeForms.Table[[#Headers],[#Data],[How is the quality of your drinks? (Each visit)]])</f>
        <v>4.4800000000000004</v>
      </c>
      <c r="L27" s="3">
        <f>AVERAGE(OfficeForms.Table[[#Headers],[#Data],[How is the wait time? (Each visit)]])</f>
        <v>4.2</v>
      </c>
      <c r="M27" s="3">
        <f>AVERAGE(OfficeForms.Table[[#Headers],[#Data],[Likely to visit again?]])</f>
        <v>4.3600000000000003</v>
      </c>
      <c r="N27" s="2"/>
    </row>
    <row r="28" spans="1:14" x14ac:dyDescent="0.3">
      <c r="G28">
        <f>COUNTIF(OfficeForms.Table[[#Headers],[#Data],[Do you prefer tea or coffee? (Select all that apply)]],"*Coffee*")</f>
        <v>12</v>
      </c>
      <c r="H28">
        <f>COUNTIF(OfficeForms.Table[[#Headers],[#Data],[Temperature? ]],"*Hot*")</f>
        <v>9</v>
      </c>
      <c r="I28">
        <f>COUNTIF(OfficeForms.Table[[#Headers],[#Data],[Drink style? (Select all that apply)]],"*Pour Over*")</f>
        <v>4</v>
      </c>
      <c r="J28">
        <f>COUNTIF(OfficeForms.Table[[#Headers],[#Data],[Syrups? (Select all that apply)]],"*Caramel (w/Dairy)*")</f>
        <v>6</v>
      </c>
    </row>
    <row r="29" spans="1:14" x14ac:dyDescent="0.3">
      <c r="G29">
        <f>COUNTIF(OfficeForms.Table[[#Headers],[#Data],[Do you prefer tea or coffee? (Select all that apply)]],"*I only drink water*")</f>
        <v>3</v>
      </c>
      <c r="H29" cm="1">
        <f t="array" ref="H29">AVERAGE(_xlfn.SWITCH(H2:H26,"Hot",1,"Cold",0))</f>
        <v>0.36</v>
      </c>
      <c r="I29">
        <f>COUNTIF(OfficeForms.Table[[#Headers],[#Data],[Drink style? (Select all that apply)]],"*Cold Brew*")</f>
        <v>7</v>
      </c>
      <c r="J29">
        <f>COUNTIF(OfficeForms.Table[[#Headers],[#Data],[Syrups? (Select all that apply)]],"*Mocha*")</f>
        <v>7</v>
      </c>
    </row>
    <row r="30" spans="1:14" x14ac:dyDescent="0.3">
      <c r="G30">
        <f>SUM(COUNTIF(OfficeForms.Table[[#Headers],[#Data],[Do you prefer tea or coffee? (Select all that apply)]],"*Tea*"),COUNTIF(OfficeForms.Table[[#Headers],[#Data],[Do you prefer tea or coffee? (Select all that apply)]],"*Coffee*"))</f>
        <v>29</v>
      </c>
      <c r="I30">
        <f>COUNTIF(OfficeForms.Table[[#Headers],[#Data],[Drink style? (Select all that apply)]],"*Espresso*")</f>
        <v>3</v>
      </c>
      <c r="J30">
        <f>COUNTIF(OfficeForms.Table[[#Headers],[#Data],[Syrups? (Select all that apply)]],"*Maple*")</f>
        <v>3</v>
      </c>
    </row>
    <row r="31" spans="1:14" x14ac:dyDescent="0.3">
      <c r="I31">
        <f>COUNTIF(OfficeForms.Table[[#Headers],[#Data],[Drink style? (Select all that apply)]],"*Cortado*")</f>
        <v>4</v>
      </c>
      <c r="J31">
        <f>COUNTIF(OfficeForms.Table[[#Headers],[#Data],[Syrups? (Select all that apply)]],"*Honey*")</f>
        <v>4</v>
      </c>
    </row>
    <row r="32" spans="1:14" x14ac:dyDescent="0.3">
      <c r="I32">
        <f>COUNTIF(OfficeForms.Table[[#Headers],[#Data],[Drink style? (Select all that apply)]],"*Lattes*")</f>
        <v>16</v>
      </c>
      <c r="J32">
        <f>COUNTIF(OfficeForms.Table[[#Headers],[#Data],[Syrups? (Select all that apply)]],"*Simple Syrup*")</f>
        <v>11</v>
      </c>
    </row>
    <row r="33" spans="9:10" x14ac:dyDescent="0.3">
      <c r="I33">
        <f>COUNTIF(OfficeForms.Table[[#Headers],[#Data],[Drink style? (Select all that apply)]],"*Loose Leaf Tea*")</f>
        <v>14</v>
      </c>
      <c r="J33">
        <f>COUNTIF(OfficeForms.Table[[#Headers],[#Data],[Syrups? (Select all that apply)]],"*Seasonal Syrups*")</f>
        <v>11</v>
      </c>
    </row>
    <row r="34" spans="9:10" x14ac:dyDescent="0.3">
      <c r="J34">
        <f>COUNTIF(OfficeForms.Table[[#Headers],[#Data],[Syrups? (Select all that apply)]],"*None*")</f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A489-7F9C-4FDD-AE9F-A3DFA74BAFA1}">
  <dimension ref="A1:B20"/>
  <sheetViews>
    <sheetView tabSelected="1" workbookViewId="0">
      <selection activeCell="M12" sqref="M12"/>
    </sheetView>
  </sheetViews>
  <sheetFormatPr defaultRowHeight="14.4" x14ac:dyDescent="0.3"/>
  <cols>
    <col min="1" max="1" width="19.88671875" bestFit="1" customWidth="1"/>
    <col min="2" max="3" width="10.44140625" bestFit="1" customWidth="1"/>
  </cols>
  <sheetData>
    <row r="1" spans="1:2" x14ac:dyDescent="0.3">
      <c r="A1" s="6" t="s">
        <v>61</v>
      </c>
      <c r="B1" t="s">
        <v>63</v>
      </c>
    </row>
    <row r="2" spans="1:2" x14ac:dyDescent="0.3">
      <c r="A2" s="7" t="s">
        <v>15</v>
      </c>
      <c r="B2" s="3">
        <v>9</v>
      </c>
    </row>
    <row r="3" spans="1:2" x14ac:dyDescent="0.3">
      <c r="A3" s="8" t="s">
        <v>26</v>
      </c>
      <c r="B3" s="3">
        <v>3</v>
      </c>
    </row>
    <row r="4" spans="1:2" x14ac:dyDescent="0.3">
      <c r="A4" s="8" t="s">
        <v>14</v>
      </c>
      <c r="B4" s="3">
        <v>1</v>
      </c>
    </row>
    <row r="5" spans="1:2" x14ac:dyDescent="0.3">
      <c r="A5" s="8" t="s">
        <v>21</v>
      </c>
      <c r="B5" s="3">
        <v>4</v>
      </c>
    </row>
    <row r="6" spans="1:2" x14ac:dyDescent="0.3">
      <c r="A6" s="8" t="s">
        <v>29</v>
      </c>
      <c r="B6" s="3">
        <v>1</v>
      </c>
    </row>
    <row r="7" spans="1:2" x14ac:dyDescent="0.3">
      <c r="A7" s="7" t="s">
        <v>62</v>
      </c>
      <c r="B7" s="3">
        <v>9</v>
      </c>
    </row>
    <row r="17" spans="1:2" x14ac:dyDescent="0.3">
      <c r="A17" s="6" t="s">
        <v>61</v>
      </c>
      <c r="B17" t="s">
        <v>63</v>
      </c>
    </row>
    <row r="18" spans="1:2" x14ac:dyDescent="0.3">
      <c r="A18" s="7" t="s">
        <v>18</v>
      </c>
      <c r="B18" s="3">
        <v>16</v>
      </c>
    </row>
    <row r="19" spans="1:2" x14ac:dyDescent="0.3">
      <c r="A19" s="7" t="s">
        <v>15</v>
      </c>
      <c r="B19" s="3">
        <v>9</v>
      </c>
    </row>
    <row r="20" spans="1:2" x14ac:dyDescent="0.3">
      <c r="A20" s="7" t="s">
        <v>62</v>
      </c>
      <c r="B20" s="3">
        <v>25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</cp:lastModifiedBy>
  <dcterms:created xsi:type="dcterms:W3CDTF">2026-04-09T16:27:55Z</dcterms:created>
  <dcterms:modified xsi:type="dcterms:W3CDTF">2026-04-10T02:12:20Z</dcterms:modified>
</cp:coreProperties>
</file>