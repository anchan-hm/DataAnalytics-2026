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himm\Documents\DataAnalytics-2026\week-01\"/>
    </mc:Choice>
  </mc:AlternateContent>
  <xr:revisionPtr revIDLastSave="0" documentId="8_{F1BD0BDC-B0F8-4E47-AFEF-04CF775281A7}" xr6:coauthVersionLast="47" xr6:coauthVersionMax="47" xr10:uidLastSave="{00000000-0000-0000-0000-000000000000}"/>
  <bookViews>
    <workbookView xWindow="11424" yWindow="0" windowWidth="11712" windowHeight="12336" firstSheet="1" activeTab="2" xr2:uid="{ED6A505B-5F37-48B1-80F6-86DDBC641CB0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<sst xmlns="http://schemas.openxmlformats.org/spreadsheetml/2006/main" count="158" uniqueCount="71">
  <si>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</si>
  <si>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</si>
  <si>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</si>
  <si>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</si>
  <si>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</si>
  <si>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</si>
  <si>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</si>
  <si>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</si>
  <si>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</si>
  <si>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</si>
  <si>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</si>
  <si>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</si>
  <si>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</si>
  <si>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</si>
  <si>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</si>
  <si>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</si>
  <si>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</si>
  <si>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</si>
  <si>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</si>
  <si>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</si>
  <si>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</si>
  <si>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</si>
  <si>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</si>
  <si>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</si>
  <si>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</si>
  <si>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</si>
  <si>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</si>
  <si>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</si>
  <si>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</si>
  <si>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</si>
  <si>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</si>
  <si>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</si>
  <si>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</si>
  <si>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</si>
  <si>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</si>
  <si>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</si>
  <si>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</si>
  <si>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</si>
  <si>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</si>
  <si>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</si>
  <si>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</si>
  <si>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</si>
  <si>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</si>
  <si>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</si>
  <si>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</si>
  <si>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</si>
  <si>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</si>
  <si>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</si>
  <si>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</si>
  <si>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</si>
  <si>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</si>
  <si>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</si>
  <si>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</si>
  <si>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</si>
  <si>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</si>
  <si>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</si>
  <si>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</si>
  <si>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</si>
  <si>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</si>
  <si>
    <t>Northwest</t>
  </si>
  <si>
    <t>North Central</t>
  </si>
  <si>
    <t>Washington, Oregon, Idaho, and Montana</t>
  </si>
  <si>
    <t>North Dakota, South Dakota, Nebraska, Minnesota, Wisconsin, and Michigan</t>
  </si>
  <si>
    <t>State</t>
  </si>
  <si>
    <t>Sales Region</t>
  </si>
  <si>
    <t>North Cenral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</si>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</sst>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2" tint="-9.9948118533890809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0.67</c:v>
                </c:pt>
                <c:pt idx="2">
                  <c:v>0.68</c:v>
                </c:pt>
                <c:pt idx="3">
                  <c:v>0.75</c:v>
                </c:pt>
                <c:pt idx="4">
                  <c:v>0.69</c:v>
                </c:pt>
                <c:pt idx="5">
                  <c:v>0.7</c:v>
                </c:pt>
                <c:pt idx="6">
                  <c:v>0.69</c:v>
                </c:pt>
                <c:pt idx="7">
                  <c:v>0.75</c:v>
                </c:pt>
                <c:pt idx="8">
                  <c:v>0.68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3-43CA-9882-27CA526AE409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0.18</c:v>
                </c:pt>
                <c:pt idx="6">
                  <c:v>0.17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23-43CA-9882-27CA526AE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969872"/>
        <c:axId val="1727968432"/>
      </c:barChart>
      <c:catAx>
        <c:axId val="172796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68432"/>
        <c:crosses val="autoZero"/>
        <c:auto val="1"/>
        <c:lblAlgn val="ctr"/>
        <c:lblOffset val="100"/>
        <c:noMultiLvlLbl val="0"/>
      </c:catAx>
      <c:valAx>
        <c:axId val="172796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6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11</xdr:row>
      <xdr:rowOff>179070</xdr:rowOff>
    </xdr:from>
    <xdr:to>
      <xdr:col>10</xdr:col>
      <xdr:colOff>579120</xdr:colOff>
      <xdr:row>26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F007D8-CD98-813C-5BB4-874A8DACA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us Chanthadara " refreshedDate="46119.834636921296" createdVersion="8" refreshedVersion="8" minRefreshableVersion="3" recordCount="10" xr:uid="{C52462DF-6206-4F32-9367-C046E865F487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ral"/>
      </sharedItems>
    </cacheField>
    <cacheField name="Hamburger" numFmtId="9">
      <sharedItems containsSemiMixedTypes="0" containsString="0" containsNumber="1" minValue="0.66" maxValue="0.75"/>
    </cacheField>
    <cacheField name="Milkshake" numFmtId="9">
      <sharedItems containsSemiMixedTypes="0" containsString="0" containsNumber="1" minValue="0.14000000000000001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8"/>
    <n v="0.18"/>
  </r>
  <r>
    <x v="1"/>
    <x v="0"/>
    <n v="0.69"/>
    <n v="0.17"/>
  </r>
  <r>
    <x v="2"/>
    <x v="0"/>
    <n v="0.67"/>
    <n v="0.2"/>
  </r>
  <r>
    <x v="3"/>
    <x v="0"/>
    <n v="0.75"/>
    <n v="0.14000000000000001"/>
  </r>
  <r>
    <x v="4"/>
    <x v="1"/>
    <n v="0.7"/>
    <n v="0.18"/>
  </r>
  <r>
    <x v="5"/>
    <x v="1"/>
    <n v="0.75"/>
    <n v="0.14000000000000001"/>
  </r>
  <r>
    <x v="6"/>
    <x v="1"/>
    <n v="0.69"/>
    <n v="0.18"/>
  </r>
  <r>
    <x v="7"/>
    <x v="1"/>
    <n v="0.68"/>
    <n v="0.19"/>
  </r>
  <r>
    <x v="8"/>
    <x v="1"/>
    <n v="0.66"/>
    <n v="0.2"/>
  </r>
  <r>
    <x v="9"/>
    <x v="1"/>
    <n v="0.67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891EB6-A866-41C4-8719-5B2B810E246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87AA3-244A-4CAB-B9DC-BD31D1D436C8}">
  <dimension ref="A1:K52"/>
  <sheetViews>
    <sheetView workbookViewId="0">
      <pane ySplit="1" topLeftCell="A29" activePane="bottomLeft" state="frozen"/>
      <selection activeCell="B1" sqref="B1"/>
      <selection pane="bottomLeft" activeCell="B33" sqref="B33"/>
    </sheetView>
  </sheetViews>
  <sheetFormatPr defaultRowHeight="14.4" x14ac:dyDescent="0.3"/>
  <cols>
    <col min="1" max="1" width="10.33203125" bestFit="1" customWidth="1"/>
    <col min="2" max="2" width="16.77734375" bestFit="1" customWidth="1"/>
    <col min="3" max="3" width="12.33203125" bestFit="1" customWidth="1"/>
    <col min="4" max="4" width="11.21875" bestFit="1" customWidth="1"/>
    <col min="5" max="5" width="9.88671875" bestFit="1" customWidth="1"/>
    <col min="7" max="7" width="10.109375" bestFit="1" customWidth="1"/>
    <col min="8" max="8" width="8.88671875" customWidth="1"/>
    <col min="10" max="10" width="9.44140625" bestFit="1" customWidth="1"/>
    <col min="11" max="11" width="14.10937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26</v>
      </c>
      <c r="C4" s="1">
        <v>0.67</v>
      </c>
      <c r="D4" s="1">
        <v>0.2</v>
      </c>
      <c r="E4" s="1">
        <v>0.13</v>
      </c>
    </row>
    <row r="5" spans="1:11" x14ac:dyDescent="0.3">
      <c r="A5">
        <v>4</v>
      </c>
      <c r="B5" t="s">
        <v>19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18</v>
      </c>
      <c r="C8" s="1">
        <v>0.64</v>
      </c>
      <c r="D8" s="1">
        <v>0.22</v>
      </c>
      <c r="E8" s="1">
        <v>0.14000000000000001</v>
      </c>
    </row>
    <row r="9" spans="1:11" x14ac:dyDescent="0.3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3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3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16</v>
      </c>
      <c r="C16" s="1">
        <v>0.66</v>
      </c>
      <c r="D16" s="1">
        <v>0.21</v>
      </c>
      <c r="E16" s="1">
        <v>0.13</v>
      </c>
    </row>
    <row r="17" spans="1:5" x14ac:dyDescent="0.3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3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0.63</v>
      </c>
      <c r="D19" s="1">
        <v>0.23</v>
      </c>
      <c r="E19" s="1">
        <v>0.14000000000000001</v>
      </c>
    </row>
    <row r="20" spans="1:5" x14ac:dyDescent="0.3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3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22</v>
      </c>
      <c r="C24" s="1">
        <v>0.67</v>
      </c>
      <c r="D24" s="1">
        <v>0.2</v>
      </c>
      <c r="E24" s="1">
        <v>0.13</v>
      </c>
    </row>
    <row r="25" spans="1:5" x14ac:dyDescent="0.3">
      <c r="A25">
        <v>24</v>
      </c>
      <c r="B25" t="s">
        <v>36</v>
      </c>
      <c r="C25" s="1">
        <v>0.68</v>
      </c>
      <c r="D25" s="1">
        <v>0.19</v>
      </c>
      <c r="E25" s="1">
        <v>0.13</v>
      </c>
    </row>
    <row r="26" spans="1:5" x14ac:dyDescent="0.3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38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41</v>
      </c>
      <c r="C39" s="1">
        <v>0.69</v>
      </c>
      <c r="D39" s="1">
        <v>0.17</v>
      </c>
      <c r="E39" s="1">
        <v>0.14000000000000001</v>
      </c>
    </row>
    <row r="40" spans="1:5" x14ac:dyDescent="0.3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13</v>
      </c>
      <c r="C41" s="1">
        <v>0.63</v>
      </c>
      <c r="D41" s="1">
        <v>0.24</v>
      </c>
      <c r="E41" s="1">
        <v>0.13</v>
      </c>
    </row>
    <row r="42" spans="1:5" x14ac:dyDescent="0.3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30</v>
      </c>
      <c r="C45" s="1">
        <v>0.69</v>
      </c>
      <c r="D45" s="1">
        <v>0.19</v>
      </c>
      <c r="E45" s="1">
        <v>0.12</v>
      </c>
    </row>
    <row r="46" spans="1:5" x14ac:dyDescent="0.3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0.68</v>
      </c>
      <c r="D47" s="1">
        <v>0.17</v>
      </c>
      <c r="E47" s="1">
        <v>0.15</v>
      </c>
    </row>
    <row r="48" spans="1:5" x14ac:dyDescent="0.3">
      <c r="A48">
        <v>47</v>
      </c>
      <c r="B48" t="s">
        <v>7</v>
      </c>
      <c r="C48" s="1">
        <v>0.63</v>
      </c>
      <c r="D48" s="1">
        <v>0.24</v>
      </c>
      <c r="E48" s="1">
        <v>0.13</v>
      </c>
    </row>
    <row r="49" spans="1:5" x14ac:dyDescent="0.3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3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50587AA3-244A-4CAB-B9DC-BD31D1D436C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B11D-2E9C-4A09-BE12-1802CCA88155}">
  <dimension ref="A1:AZ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defaultRowHeight="14.4" x14ac:dyDescent="0.3"/>
  <cols>
    <col min="1" max="1" width="11.77734375" bestFit="1" customWidth="1"/>
  </cols>
  <sheetData>
    <row r="1" spans="1:52" x14ac:dyDescent="0.3">
      <c r="A1" t="s">
        <v>0</v>
      </c>
      <c r="B1" t="s">
        <v>3</v>
      </c>
      <c r="C1" t="s">
        <v>49</v>
      </c>
      <c r="D1" t="s">
        <v>26</v>
      </c>
      <c r="E1" t="s">
        <v>19</v>
      </c>
      <c r="F1" t="s">
        <v>33</v>
      </c>
      <c r="G1" t="s">
        <v>40</v>
      </c>
      <c r="H1" t="s">
        <v>18</v>
      </c>
      <c r="I1" t="s">
        <v>10</v>
      </c>
      <c r="J1" t="s">
        <v>51</v>
      </c>
      <c r="K1" t="s">
        <v>23</v>
      </c>
      <c r="L1" t="s">
        <v>14</v>
      </c>
      <c r="M1" t="s">
        <v>50</v>
      </c>
      <c r="N1" t="s">
        <v>20</v>
      </c>
      <c r="O1" t="s">
        <v>11</v>
      </c>
      <c r="P1" t="s">
        <v>16</v>
      </c>
      <c r="Q1" t="s">
        <v>32</v>
      </c>
      <c r="R1" t="s">
        <v>24</v>
      </c>
      <c r="S1" t="s">
        <v>4</v>
      </c>
      <c r="T1" t="s">
        <v>27</v>
      </c>
      <c r="U1" t="s">
        <v>46</v>
      </c>
      <c r="V1" t="s">
        <v>25</v>
      </c>
      <c r="W1" t="s">
        <v>42</v>
      </c>
      <c r="X1" t="s">
        <v>22</v>
      </c>
      <c r="Y1" t="s">
        <v>36</v>
      </c>
      <c r="Z1" t="s">
        <v>28</v>
      </c>
      <c r="AA1" t="s">
        <v>21</v>
      </c>
      <c r="AB1" t="s">
        <v>48</v>
      </c>
      <c r="AC1" t="s">
        <v>35</v>
      </c>
      <c r="AD1" t="s">
        <v>15</v>
      </c>
      <c r="AE1" t="s">
        <v>38</v>
      </c>
      <c r="AF1" t="s">
        <v>31</v>
      </c>
      <c r="AG1" t="s">
        <v>39</v>
      </c>
      <c r="AH1" t="s">
        <v>37</v>
      </c>
      <c r="AI1" t="s">
        <v>2</v>
      </c>
      <c r="AJ1" t="s">
        <v>34</v>
      </c>
      <c r="AK1" t="s">
        <v>8</v>
      </c>
      <c r="AL1" t="s">
        <v>12</v>
      </c>
      <c r="AM1" t="s">
        <v>41</v>
      </c>
      <c r="AN1" t="s">
        <v>17</v>
      </c>
      <c r="AO1" t="s">
        <v>13</v>
      </c>
      <c r="AP1" t="s">
        <v>1</v>
      </c>
      <c r="AQ1" t="s">
        <v>44</v>
      </c>
      <c r="AR1" t="s">
        <v>5</v>
      </c>
      <c r="AS1" t="s">
        <v>30</v>
      </c>
      <c r="AT1" t="s">
        <v>6</v>
      </c>
      <c r="AU1" t="s">
        <v>47</v>
      </c>
      <c r="AV1" t="s">
        <v>7</v>
      </c>
      <c r="AW1" t="s">
        <v>43</v>
      </c>
      <c r="AX1" t="s">
        <v>9</v>
      </c>
      <c r="AY1" t="s">
        <v>29</v>
      </c>
      <c r="AZ1" t="s">
        <v>45</v>
      </c>
    </row>
    <row r="2" spans="1:52" x14ac:dyDescent="0.3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0.65</v>
      </c>
      <c r="G2" s="1">
        <v>0.68</v>
      </c>
      <c r="H2" s="1">
        <v>0.64</v>
      </c>
      <c r="I2" s="1">
        <v>0.61</v>
      </c>
      <c r="J2" s="1">
        <v>0.66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0.66</v>
      </c>
      <c r="Q2" s="1">
        <v>0.67</v>
      </c>
      <c r="R2" s="1">
        <v>0.67</v>
      </c>
      <c r="S2" s="1">
        <v>0.63</v>
      </c>
      <c r="T2" s="1">
        <v>0.66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0.66</v>
      </c>
      <c r="AB2" s="1">
        <v>0.75</v>
      </c>
      <c r="AC2" s="1">
        <v>0.69</v>
      </c>
      <c r="AD2" s="1">
        <v>0.67</v>
      </c>
      <c r="AE2" s="1">
        <v>0.65</v>
      </c>
      <c r="AF2" s="1">
        <v>0.61</v>
      </c>
      <c r="AG2" s="1">
        <v>0.67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0.69</v>
      </c>
      <c r="AN2" s="1">
        <v>0.62</v>
      </c>
      <c r="AO2" s="1">
        <v>0.63</v>
      </c>
      <c r="AP2" s="1">
        <v>0.65</v>
      </c>
      <c r="AQ2" s="1">
        <v>0.75</v>
      </c>
      <c r="AR2" s="1">
        <v>0.65</v>
      </c>
      <c r="AS2" s="1">
        <v>0.69</v>
      </c>
      <c r="AT2" s="1">
        <v>0.66</v>
      </c>
      <c r="AU2" s="1">
        <v>0.68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 x14ac:dyDescent="0.3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0.23</v>
      </c>
      <c r="L3" s="1">
        <v>0.23</v>
      </c>
      <c r="M3" s="1">
        <v>0.14000000000000001</v>
      </c>
      <c r="N3" s="1">
        <v>0.2</v>
      </c>
      <c r="O3" s="1">
        <v>0.23</v>
      </c>
      <c r="P3" s="1">
        <v>0.21</v>
      </c>
      <c r="Q3" s="1">
        <v>0.2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0.23</v>
      </c>
      <c r="AG3" s="1">
        <v>0.19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0.17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0.19</v>
      </c>
      <c r="AT3" s="1">
        <v>0.21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0.12</v>
      </c>
      <c r="AT4" s="1">
        <v>0.13</v>
      </c>
      <c r="AU4" s="1">
        <v>0.15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  <row r="6" spans="1:52" x14ac:dyDescent="0.3">
      <c r="A6" t="s">
        <v>59</v>
      </c>
      <c r="B6" t="s">
        <v>61</v>
      </c>
    </row>
    <row r="7" spans="1:52" x14ac:dyDescent="0.3">
      <c r="A7" t="s">
        <v>60</v>
      </c>
      <c r="B7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9191-ED15-4949-84F1-23EE402BF95E}">
  <dimension ref="A1:D26"/>
  <sheetViews>
    <sheetView tabSelected="1" workbookViewId="0">
      <selection activeCell="A15" sqref="A15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  <col min="4" max="4" width="9" bestFit="1" customWidth="1"/>
  </cols>
  <sheetData>
    <row r="1" spans="1:4" x14ac:dyDescent="0.3">
      <c r="A1" t="s">
        <v>63</v>
      </c>
      <c r="B1" t="s">
        <v>64</v>
      </c>
      <c r="C1" t="s">
        <v>56</v>
      </c>
      <c r="D1" t="s">
        <v>57</v>
      </c>
    </row>
    <row r="2" spans="1:4" x14ac:dyDescent="0.3">
      <c r="A2" t="s">
        <v>43</v>
      </c>
      <c r="B2" t="s">
        <v>59</v>
      </c>
      <c r="C2" s="4">
        <f>VLOOKUP('sales region lookup'!A2,'by search term'!B:C,2,FALSE)</f>
        <v>0.68</v>
      </c>
      <c r="D2" s="4">
        <f>_xlfn.XLOOKUP(A2,'by search term'!B1:B52,'by search term'!D1:D52,"not found")</f>
        <v>0.18</v>
      </c>
    </row>
    <row r="3" spans="1:4" x14ac:dyDescent="0.3">
      <c r="A3" t="s">
        <v>41</v>
      </c>
      <c r="B3" t="s">
        <v>59</v>
      </c>
      <c r="C3" s="4">
        <f>VLOOKUP('sales region lookup'!A3,'by search term'!B:C,2,FALSE)</f>
        <v>0.69</v>
      </c>
      <c r="D3" s="4">
        <f>_xlfn.XLOOKUP(A3,'by search term'!B2:B53,'by search term'!D2:D53,"not found")</f>
        <v>0.17</v>
      </c>
    </row>
    <row r="4" spans="1:4" x14ac:dyDescent="0.3">
      <c r="A4" t="s">
        <v>20</v>
      </c>
      <c r="B4" t="s">
        <v>59</v>
      </c>
      <c r="C4" s="4">
        <f>VLOOKUP('sales region lookup'!A4,'by search term'!B:C,2,FALSE)</f>
        <v>0.67</v>
      </c>
      <c r="D4" s="4">
        <f>_xlfn.XLOOKUP(A4,'by search term'!B3:B54,'by search term'!D3:D54,"not found")</f>
        <v>0.2</v>
      </c>
    </row>
    <row r="5" spans="1:4" x14ac:dyDescent="0.3">
      <c r="A5" t="s">
        <v>48</v>
      </c>
      <c r="B5" t="s">
        <v>59</v>
      </c>
      <c r="C5" s="4">
        <f>VLOOKUP('sales region lookup'!A5,'by search term'!B:C,2,FALSE)</f>
        <v>0.75</v>
      </c>
      <c r="D5" s="4">
        <f>_xlfn.XLOOKUP(A5,'by search term'!B4:B55,'by search term'!D4:D55,"not found")</f>
        <v>0.14000000000000001</v>
      </c>
    </row>
    <row r="6" spans="1:4" x14ac:dyDescent="0.3">
      <c r="A6" t="s">
        <v>34</v>
      </c>
      <c r="B6" t="s">
        <v>65</v>
      </c>
      <c r="C6" s="4">
        <f>VLOOKUP('sales region lookup'!A6,'by search term'!B:C,2,FALSE)</f>
        <v>0.7</v>
      </c>
      <c r="D6" s="4">
        <f>_xlfn.XLOOKUP(A6,'by search term'!B5:B56,'by search term'!D5:D56,"not found")</f>
        <v>0.18</v>
      </c>
    </row>
    <row r="7" spans="1:4" x14ac:dyDescent="0.3">
      <c r="A7" t="s">
        <v>44</v>
      </c>
      <c r="B7" t="s">
        <v>65</v>
      </c>
      <c r="C7" s="4">
        <f>VLOOKUP('sales region lookup'!A7,'by search term'!B:C,2,FALSE)</f>
        <v>0.75</v>
      </c>
      <c r="D7" s="4">
        <f>_xlfn.XLOOKUP(A7,'by search term'!B6:B57,'by search term'!D6:D57,"not found")</f>
        <v>0.14000000000000001</v>
      </c>
    </row>
    <row r="8" spans="1:4" x14ac:dyDescent="0.3">
      <c r="A8" t="s">
        <v>35</v>
      </c>
      <c r="B8" t="s">
        <v>65</v>
      </c>
      <c r="C8" s="4">
        <f>VLOOKUP('sales region lookup'!A8,'by search term'!B:C,2,FALSE)</f>
        <v>0.69</v>
      </c>
      <c r="D8" s="4">
        <f>_xlfn.XLOOKUP(A8,'by search term'!B7:B58,'by search term'!D7:D58,"not found")</f>
        <v>0.18</v>
      </c>
    </row>
    <row r="9" spans="1:4" x14ac:dyDescent="0.3">
      <c r="A9" t="s">
        <v>36</v>
      </c>
      <c r="B9" t="s">
        <v>65</v>
      </c>
      <c r="C9" s="4">
        <f>VLOOKUP('sales region lookup'!A9,'by search term'!B:C,2,FALSE)</f>
        <v>0.68</v>
      </c>
      <c r="D9" s="4">
        <f>_xlfn.XLOOKUP(A9,'by search term'!B8:B59,'by search term'!D8:D59,"not found")</f>
        <v>0.19</v>
      </c>
    </row>
    <row r="10" spans="1:4" x14ac:dyDescent="0.3">
      <c r="A10" t="s">
        <v>29</v>
      </c>
      <c r="B10" t="s">
        <v>65</v>
      </c>
      <c r="C10" s="4">
        <f>VLOOKUP('sales region lookup'!A10,'by search term'!B:C,2,FALSE)</f>
        <v>0.66</v>
      </c>
      <c r="D10" s="4">
        <f>_xlfn.XLOOKUP(A10,'by search term'!B9:B60,'by search term'!D9:D60,"not found")</f>
        <v>0.2</v>
      </c>
    </row>
    <row r="11" spans="1:4" x14ac:dyDescent="0.3">
      <c r="A11" t="s">
        <v>22</v>
      </c>
      <c r="B11" t="s">
        <v>65</v>
      </c>
      <c r="C11" s="4">
        <f>VLOOKUP('sales region lookup'!A11,'by search term'!B:C,2,FALSE)</f>
        <v>0.67</v>
      </c>
      <c r="D11" s="4">
        <f>_xlfn.XLOOKUP(A11,'by search term'!B10:B61,'by search term'!D10:D61,"not found")</f>
        <v>0.2</v>
      </c>
    </row>
    <row r="13" spans="1:4" x14ac:dyDescent="0.3">
      <c r="A13" s="5" t="s">
        <v>64</v>
      </c>
      <c r="B13" t="s">
        <v>70</v>
      </c>
    </row>
    <row r="15" spans="1:4" x14ac:dyDescent="0.3">
      <c r="A15" s="5" t="s">
        <v>66</v>
      </c>
      <c r="B15" t="s">
        <v>68</v>
      </c>
      <c r="C15" t="s">
        <v>69</v>
      </c>
    </row>
    <row r="16" spans="1:4" x14ac:dyDescent="0.3">
      <c r="A16" s="6" t="s">
        <v>20</v>
      </c>
      <c r="B16" s="1">
        <v>0.67</v>
      </c>
      <c r="C16" s="1">
        <v>0.2</v>
      </c>
    </row>
    <row r="17" spans="1:3" x14ac:dyDescent="0.3">
      <c r="A17" s="6" t="s">
        <v>22</v>
      </c>
      <c r="B17" s="1">
        <v>0.67</v>
      </c>
      <c r="C17" s="1">
        <v>0.2</v>
      </c>
    </row>
    <row r="18" spans="1:3" x14ac:dyDescent="0.3">
      <c r="A18" s="6" t="s">
        <v>36</v>
      </c>
      <c r="B18" s="1">
        <v>0.68</v>
      </c>
      <c r="C18" s="1">
        <v>0.19</v>
      </c>
    </row>
    <row r="19" spans="1:3" x14ac:dyDescent="0.3">
      <c r="A19" s="6" t="s">
        <v>48</v>
      </c>
      <c r="B19" s="1">
        <v>0.75</v>
      </c>
      <c r="C19" s="1">
        <v>0.14000000000000001</v>
      </c>
    </row>
    <row r="20" spans="1:3" x14ac:dyDescent="0.3">
      <c r="A20" s="6" t="s">
        <v>35</v>
      </c>
      <c r="B20" s="1">
        <v>0.69</v>
      </c>
      <c r="C20" s="1">
        <v>0.18</v>
      </c>
    </row>
    <row r="21" spans="1:3" x14ac:dyDescent="0.3">
      <c r="A21" s="6" t="s">
        <v>34</v>
      </c>
      <c r="B21" s="1">
        <v>0.7</v>
      </c>
      <c r="C21" s="1">
        <v>0.18</v>
      </c>
    </row>
    <row r="22" spans="1:3" x14ac:dyDescent="0.3">
      <c r="A22" s="6" t="s">
        <v>41</v>
      </c>
      <c r="B22" s="1">
        <v>0.69</v>
      </c>
      <c r="C22" s="1">
        <v>0.17</v>
      </c>
    </row>
    <row r="23" spans="1:3" x14ac:dyDescent="0.3">
      <c r="A23" s="6" t="s">
        <v>44</v>
      </c>
      <c r="B23" s="1">
        <v>0.75</v>
      </c>
      <c r="C23" s="1">
        <v>0.14000000000000001</v>
      </c>
    </row>
    <row r="24" spans="1:3" x14ac:dyDescent="0.3">
      <c r="A24" s="6" t="s">
        <v>43</v>
      </c>
      <c r="B24" s="1">
        <v>0.68</v>
      </c>
      <c r="C24" s="1">
        <v>0.18</v>
      </c>
    </row>
    <row r="25" spans="1:3" x14ac:dyDescent="0.3">
      <c r="A25" s="6" t="s">
        <v>29</v>
      </c>
      <c r="B25" s="1">
        <v>0.66</v>
      </c>
      <c r="C25" s="1">
        <v>0.2</v>
      </c>
    </row>
    <row r="26" spans="1:3" x14ac:dyDescent="0.3">
      <c r="A26" s="6" t="s">
        <v>67</v>
      </c>
      <c r="B26" s="1">
        <v>6.9399999999999995</v>
      </c>
      <c r="C26" s="1">
        <v>1.7799999999999998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Alexus Chanthadara </dc:creator>
  <cp:lastModifiedBy>Alexus Chanthadara </cp:lastModifiedBy>
  <dcterms:created xsi:type="dcterms:W3CDTF">2026-04-07T21:32:28Z</dcterms:created>
  <dcterms:modified xsi:type="dcterms:W3CDTF">2026-04-08T00:05:03Z</dcterms:modified>
</cp:coreProperties>
</file>